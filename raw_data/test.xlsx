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mg31\Box\Katy\Research\experiments\sulfate\pteronarcys\raw_data\"/>
    </mc:Choice>
  </mc:AlternateContent>
  <xr:revisionPtr revIDLastSave="0" documentId="13_ncr:1_{43CD5FB6-2617-4491-BF5A-58B2EF535789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4" i="1" l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13" i="1"/>
  <c r="AB14" i="1"/>
  <c r="AF14" i="1" s="1"/>
  <c r="AB15" i="1"/>
  <c r="AE15" i="1" s="1"/>
  <c r="AB16" i="1"/>
  <c r="AB17" i="1"/>
  <c r="AB18" i="1"/>
  <c r="AB19" i="1"/>
  <c r="AB20" i="1"/>
  <c r="AB21" i="1"/>
  <c r="AC21" i="1" s="1"/>
  <c r="AB22" i="1"/>
  <c r="AF22" i="1" s="1"/>
  <c r="AB23" i="1"/>
  <c r="AE23" i="1" s="1"/>
  <c r="AB24" i="1"/>
  <c r="AB25" i="1"/>
  <c r="AB26" i="1"/>
  <c r="AB27" i="1"/>
  <c r="AB28" i="1"/>
  <c r="AB29" i="1"/>
  <c r="AF29" i="1" s="1"/>
  <c r="AB30" i="1"/>
  <c r="AF30" i="1" s="1"/>
  <c r="AB31" i="1"/>
  <c r="AE31" i="1" s="1"/>
  <c r="AB32" i="1"/>
  <c r="AB33" i="1"/>
  <c r="AB34" i="1"/>
  <c r="AB35" i="1"/>
  <c r="AB36" i="1"/>
  <c r="AB37" i="1"/>
  <c r="AF37" i="1" s="1"/>
  <c r="AB38" i="1"/>
  <c r="AE38" i="1" s="1"/>
  <c r="AB39" i="1"/>
  <c r="AE39" i="1" s="1"/>
  <c r="AB40" i="1"/>
  <c r="AB41" i="1"/>
  <c r="AB42" i="1"/>
  <c r="AB43" i="1"/>
  <c r="AB44" i="1"/>
  <c r="AB45" i="1"/>
  <c r="AF45" i="1" s="1"/>
  <c r="AB46" i="1"/>
  <c r="AE46" i="1" s="1"/>
  <c r="AB47" i="1"/>
  <c r="AE47" i="1" s="1"/>
  <c r="AB48" i="1"/>
  <c r="AB49" i="1"/>
  <c r="AB13" i="1"/>
  <c r="AC13" i="1" s="1"/>
  <c r="AF16" i="1"/>
  <c r="AF17" i="1"/>
  <c r="AF18" i="1"/>
  <c r="AF19" i="1"/>
  <c r="AF20" i="1"/>
  <c r="AF24" i="1"/>
  <c r="AF25" i="1"/>
  <c r="AF26" i="1"/>
  <c r="AF27" i="1"/>
  <c r="AF28" i="1"/>
  <c r="AF32" i="1"/>
  <c r="AF33" i="1"/>
  <c r="AF34" i="1"/>
  <c r="AF35" i="1"/>
  <c r="AF36" i="1"/>
  <c r="AF40" i="1"/>
  <c r="AF41" i="1"/>
  <c r="AF42" i="1"/>
  <c r="AF43" i="1"/>
  <c r="AF44" i="1"/>
  <c r="AF48" i="1"/>
  <c r="AF49" i="1"/>
  <c r="AE14" i="1"/>
  <c r="AE16" i="1"/>
  <c r="AE17" i="1"/>
  <c r="AE18" i="1"/>
  <c r="AE19" i="1"/>
  <c r="AE20" i="1"/>
  <c r="AE21" i="1"/>
  <c r="AE22" i="1"/>
  <c r="AE24" i="1"/>
  <c r="AE25" i="1"/>
  <c r="AE26" i="1"/>
  <c r="AE27" i="1"/>
  <c r="AE28" i="1"/>
  <c r="AE29" i="1"/>
  <c r="AE30" i="1"/>
  <c r="AE32" i="1"/>
  <c r="AE33" i="1"/>
  <c r="AE34" i="1"/>
  <c r="AE35" i="1"/>
  <c r="AE36" i="1"/>
  <c r="AE37" i="1"/>
  <c r="AE40" i="1"/>
  <c r="AE41" i="1"/>
  <c r="AE42" i="1"/>
  <c r="AE43" i="1"/>
  <c r="AE44" i="1"/>
  <c r="AE45" i="1"/>
  <c r="AE48" i="1"/>
  <c r="AE49" i="1"/>
  <c r="AD14" i="1"/>
  <c r="AD16" i="1"/>
  <c r="AD17" i="1"/>
  <c r="AD18" i="1"/>
  <c r="AD19" i="1"/>
  <c r="AD20" i="1"/>
  <c r="AD24" i="1"/>
  <c r="AD25" i="1"/>
  <c r="AD26" i="1"/>
  <c r="AD27" i="1"/>
  <c r="AD28" i="1"/>
  <c r="AD32" i="1"/>
  <c r="AD33" i="1"/>
  <c r="AD34" i="1"/>
  <c r="AD35" i="1"/>
  <c r="AD36" i="1"/>
  <c r="AD40" i="1"/>
  <c r="AD41" i="1"/>
  <c r="AD42" i="1"/>
  <c r="AD43" i="1"/>
  <c r="AD44" i="1"/>
  <c r="AD48" i="1"/>
  <c r="AD49" i="1"/>
  <c r="AC16" i="1"/>
  <c r="AC23" i="1"/>
  <c r="AC24" i="1"/>
  <c r="AC28" i="1"/>
  <c r="AC32" i="1"/>
  <c r="AC37" i="1"/>
  <c r="AC39" i="1"/>
  <c r="AC40" i="1"/>
  <c r="AC44" i="1"/>
  <c r="AC48" i="1"/>
  <c r="AC17" i="1"/>
  <c r="AC19" i="1"/>
  <c r="AC20" i="1"/>
  <c r="AC25" i="1"/>
  <c r="AC27" i="1"/>
  <c r="AC33" i="1"/>
  <c r="AC35" i="1"/>
  <c r="AC36" i="1"/>
  <c r="AC41" i="1"/>
  <c r="AC43" i="1"/>
  <c r="AC49" i="1"/>
  <c r="AC14" i="1"/>
  <c r="AC15" i="1"/>
  <c r="AC18" i="1"/>
  <c r="AC22" i="1"/>
  <c r="AC26" i="1"/>
  <c r="AC31" i="1"/>
  <c r="AC34" i="1"/>
  <c r="AC38" i="1"/>
  <c r="AC42" i="1"/>
  <c r="AC47" i="1"/>
  <c r="AC30" i="1" l="1"/>
  <c r="AC29" i="1"/>
  <c r="AD47" i="1"/>
  <c r="AD39" i="1"/>
  <c r="AD31" i="1"/>
  <c r="AD23" i="1"/>
  <c r="AD15" i="1"/>
  <c r="AF47" i="1"/>
  <c r="AF39" i="1"/>
  <c r="AF31" i="1"/>
  <c r="AF23" i="1"/>
  <c r="AF15" i="1"/>
  <c r="AD46" i="1"/>
  <c r="AD38" i="1"/>
  <c r="AD30" i="1"/>
  <c r="AD22" i="1"/>
  <c r="AF46" i="1"/>
  <c r="AF38" i="1"/>
  <c r="AC45" i="1"/>
  <c r="AD45" i="1"/>
  <c r="AD37" i="1"/>
  <c r="AD29" i="1"/>
  <c r="AD21" i="1"/>
  <c r="AF21" i="1"/>
  <c r="AC46" i="1"/>
  <c r="AE13" i="1"/>
  <c r="AD13" i="1"/>
  <c r="AF13" i="1"/>
</calcChain>
</file>

<file path=xl/sharedStrings.xml><?xml version="1.0" encoding="utf-8"?>
<sst xmlns="http://schemas.openxmlformats.org/spreadsheetml/2006/main" count="573" uniqueCount="138">
  <si>
    <t>Al</t>
  </si>
  <si>
    <t>As</t>
  </si>
  <si>
    <t>B</t>
  </si>
  <si>
    <t>Ba</t>
  </si>
  <si>
    <t>Ca</t>
  </si>
  <si>
    <t>Cd</t>
  </si>
  <si>
    <t>Co</t>
  </si>
  <si>
    <t>Cr</t>
  </si>
  <si>
    <t>Cu</t>
  </si>
  <si>
    <t>Fe</t>
  </si>
  <si>
    <t>K</t>
  </si>
  <si>
    <t>Mg</t>
  </si>
  <si>
    <t>Mn</t>
  </si>
  <si>
    <t>Mo</t>
  </si>
  <si>
    <t>Na</t>
  </si>
  <si>
    <t>Ni</t>
  </si>
  <si>
    <t>P</t>
  </si>
  <si>
    <t>Pb</t>
  </si>
  <si>
    <t>S</t>
  </si>
  <si>
    <t>Se</t>
  </si>
  <si>
    <t>Si</t>
  </si>
  <si>
    <t>Sr</t>
  </si>
  <si>
    <t>Zn</t>
  </si>
  <si>
    <t>-------------------------------------------------------------------------------------------------------------------------------------------------------mg/L---------------------------------------------------------------------------------------------------------------------------------------------------------------------------------------------------------------------</t>
  </si>
  <si>
    <t>Identification</t>
  </si>
  <si>
    <t>Detection Limits:</t>
  </si>
  <si>
    <t>Al = Aluminum</t>
  </si>
  <si>
    <t>Mg = Magnesium</t>
  </si>
  <si>
    <t>As = Arsenic</t>
  </si>
  <si>
    <t>Mn= Manganese</t>
  </si>
  <si>
    <t>B  = Boron</t>
  </si>
  <si>
    <t>Mo = Molybdenum</t>
  </si>
  <si>
    <t>Ba=Barium</t>
  </si>
  <si>
    <t>Na = Sodium</t>
  </si>
  <si>
    <t>Ca = Calcium</t>
  </si>
  <si>
    <t>Ni = Nickel</t>
  </si>
  <si>
    <t>Cd = Cadmium</t>
  </si>
  <si>
    <t>P  = Phosphorus</t>
  </si>
  <si>
    <t>Co = Cobalt</t>
  </si>
  <si>
    <t>Pb = Lead</t>
  </si>
  <si>
    <t>Cr = Chromium</t>
  </si>
  <si>
    <t>S  = Sulfur</t>
  </si>
  <si>
    <t>Cu = Copper</t>
  </si>
  <si>
    <t>Se = Selenium</t>
  </si>
  <si>
    <t>Fe = Iron</t>
  </si>
  <si>
    <t>Si = Silica</t>
  </si>
  <si>
    <t>K = Potassium</t>
  </si>
  <si>
    <t>Sr = Strontium</t>
  </si>
  <si>
    <t>Zn = Zinc</t>
  </si>
  <si>
    <t>&lt;</t>
  </si>
  <si>
    <t>8/31/2020</t>
  </si>
  <si>
    <t>Katy Gardner</t>
  </si>
  <si>
    <t>UMC 5210</t>
  </si>
  <si>
    <t>Samples Received: 8/21/2020</t>
  </si>
  <si>
    <t>USU ID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</si>
  <si>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</si>
  <si>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</si>
  <si>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</si>
  <si>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</si>
  <si>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</si>
  <si>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</si>
  <si>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</si>
  <si>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</si>
  <si>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</si>
  <si>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</si>
  <si>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</si>
  <si>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</si>
  <si>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</si>
  <si>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</si>
  <si>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</si>
  <si>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</si>
  <si>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</si>
  <si>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</si>
  <si>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</si>
  <si>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</si>
  <si>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</si>
  <si>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</si>
  <si>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</si>
  <si>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</si>
  <si>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</si>
  <si>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</si>
  <si>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</si>
  <si>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</si>
  <si>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</si>
  <si>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</si>
  <si>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</si>
  <si>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</si>
  <si>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</si>
  <si>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</si>
  <si>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</si>
  <si>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</si>
  <si>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</si>
  <si>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Chloride</t>
  </si>
  <si>
    <t>mg/L</t>
  </si>
  <si>
    <t>Trough 1 Tank 1</t>
  </si>
  <si>
    <t>Trough 1 Tank 2</t>
  </si>
  <si>
    <t>Trough 1 Tank 3</t>
  </si>
  <si>
    <t>Trough 1 Tank 4</t>
  </si>
  <si>
    <t>Trough 1 Tank 5</t>
  </si>
  <si>
    <t>Trough 1 Tank 6</t>
  </si>
  <si>
    <t>Trough 2 Tank 7</t>
  </si>
  <si>
    <t>Trough 2 Tank 8</t>
  </si>
  <si>
    <t>Trough 2 Tank 9</t>
  </si>
  <si>
    <t>Trough 2 Tank 10</t>
  </si>
  <si>
    <t>Trough 2 Tank 11</t>
  </si>
  <si>
    <t>Trough 2 Tank 12</t>
  </si>
  <si>
    <t>Trough 3 Tank 13</t>
  </si>
  <si>
    <t>Trough 3 Tank 14</t>
  </si>
  <si>
    <t>Trough 3 Tank 15</t>
  </si>
  <si>
    <t>Trough 3 Tank 16</t>
  </si>
  <si>
    <t>Trough 3 Tank 17</t>
  </si>
  <si>
    <t>Trough 3 Tank 18</t>
  </si>
  <si>
    <t>Trough 4 Tank 19</t>
  </si>
  <si>
    <t>Trough 4 Tank 20</t>
  </si>
  <si>
    <t>Trough 4 Tank 21</t>
  </si>
  <si>
    <t>Trough 4 Tank 22</t>
  </si>
  <si>
    <t>Trough 4 Tank 23</t>
  </si>
  <si>
    <t>Trough 4 Tank 24</t>
  </si>
  <si>
    <t>Trough 5 Tank 25</t>
  </si>
  <si>
    <t>Trough 5 Tank 26</t>
  </si>
  <si>
    <t>Trough 5 Tank 27</t>
  </si>
  <si>
    <t>Trough 5 Tank 28</t>
  </si>
  <si>
    <t>Trough 5 Tank 29</t>
  </si>
  <si>
    <t>Trough 5 Tank 30</t>
  </si>
  <si>
    <t>Trough 6 Tank 31</t>
  </si>
  <si>
    <t>Trough 6 Tank 32</t>
  </si>
  <si>
    <t>Trough 6 Tank 33</t>
  </si>
  <si>
    <t>Trough 6 Tank 34</t>
  </si>
  <si>
    <t>Trough 6 Tank 35</t>
  </si>
  <si>
    <t>Trough 6 Tank 36</t>
  </si>
  <si>
    <t>Well Water Trough 0</t>
  </si>
  <si>
    <t>Sulfate-Sulfur</t>
  </si>
  <si>
    <t>sum</t>
  </si>
  <si>
    <t>%so4</t>
  </si>
  <si>
    <t>%Ca</t>
  </si>
  <si>
    <t>%Na</t>
  </si>
  <si>
    <t>%Mg</t>
  </si>
  <si>
    <t>%Cl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</si>
</sst>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name val="Arial"/>
    </font>
    <font>
      <sz val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Helv"/>
    </font>
    <font>
      <sz val="11"/>
      <name val="Helv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7" fillId="0" borderId="0">
      <alignment vertical="top"/>
    </xf>
    <xf numFmtId="0" fontId="2" fillId="0" borderId="0">
      <alignment vertical="top"/>
    </xf>
    <xf numFmtId="0" fontId="3" fillId="0" borderId="0"/>
    <xf numFmtId="0" fontId="7" fillId="0" borderId="0">
      <alignment vertical="top"/>
    </xf>
    <xf numFmtId="0" fontId="3" fillId="0" borderId="0"/>
    <xf numFmtId="0" fontId="4" fillId="0" borderId="0"/>
    <xf numFmtId="0" fontId="3" fillId="0" borderId="0"/>
    <xf numFmtId="0" fontId="2" fillId="0" borderId="0">
      <alignment vertical="top"/>
    </xf>
    <xf numFmtId="0" fontId="7" fillId="0" borderId="0">
      <alignment vertical="top"/>
    </xf>
    <xf numFmtId="0" fontId="5" fillId="0" borderId="0"/>
    <xf numFmtId="0" fontId="5" fillId="0" borderId="0"/>
    <xf numFmtId="0" fontId="8" fillId="0" borderId="0">
      <alignment vertical="top"/>
    </xf>
    <xf numFmtId="0" fontId="2" fillId="0" borderId="0">
      <alignment vertical="top"/>
    </xf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" fillId="0" borderId="0">
      <alignment vertical="top"/>
    </xf>
  </cellStyleXfs>
  <cellXfs count="30">
    <xf numFmtId="0" fontId="0" fillId="0" borderId="0" xfId="0"/>
    <xf numFmtId="0" fontId="0" fillId="0" borderId="0" xfId="0" applyAlignment="1">
      <alignment horizontal="center"/>
    </xf>
    <xf numFmtId="0" fontId="2" fillId="0" borderId="0" xfId="13" applyAlignment="1">
      <alignment horizontal="center" vertical="top"/>
    </xf>
    <xf numFmtId="164" fontId="2" fillId="0" borderId="0" xfId="13" applyNumberFormat="1" applyAlignment="1">
      <alignment horizontal="center" vertical="top"/>
    </xf>
    <xf numFmtId="2" fontId="2" fillId="0" borderId="0" xfId="13" applyNumberFormat="1" applyAlignment="1">
      <alignment horizontal="center" vertical="top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10"/>
    <xf numFmtId="0" fontId="6" fillId="0" borderId="0" xfId="10" applyFont="1"/>
    <xf numFmtId="14" fontId="3" fillId="0" borderId="0" xfId="0" quotePrefix="1" applyNumberFormat="1" applyFont="1" applyAlignment="1">
      <alignment horizontal="left"/>
    </xf>
    <xf numFmtId="0" fontId="3" fillId="0" borderId="0" xfId="0" applyFont="1"/>
    <xf numFmtId="14" fontId="3" fillId="0" borderId="0" xfId="0" quotePrefix="1" applyNumberFormat="1" applyFont="1" applyAlignment="1">
      <alignment horizontal="center"/>
    </xf>
    <xf numFmtId="0" fontId="3" fillId="0" borderId="0" xfId="0" quotePrefix="1" applyFont="1" applyAlignment="1">
      <alignment horizontal="center"/>
    </xf>
    <xf numFmtId="0" fontId="9" fillId="0" borderId="0" xfId="16" applyAlignment="1">
      <alignment horizontal="center" vertical="top"/>
    </xf>
    <xf numFmtId="2" fontId="9" fillId="0" borderId="0" xfId="16" applyNumberFormat="1" applyAlignment="1">
      <alignment horizontal="center" vertical="top"/>
    </xf>
    <xf numFmtId="1" fontId="9" fillId="0" borderId="0" xfId="16" applyNumberFormat="1" applyAlignment="1">
      <alignment horizontal="center" vertical="top"/>
    </xf>
    <xf numFmtId="164" fontId="9" fillId="0" borderId="0" xfId="16" applyNumberFormat="1" applyAlignment="1">
      <alignment horizontal="center" vertical="top"/>
    </xf>
    <xf numFmtId="0" fontId="3" fillId="0" borderId="0" xfId="10" applyFont="1"/>
    <xf numFmtId="0" fontId="2" fillId="0" borderId="0" xfId="16" applyFont="1" applyAlignment="1">
      <alignment horizontal="center" vertical="top"/>
    </xf>
    <xf numFmtId="165" fontId="2" fillId="0" borderId="0" xfId="13" applyNumberFormat="1" applyAlignment="1">
      <alignment horizontal="center" vertical="top"/>
    </xf>
    <xf numFmtId="165" fontId="9" fillId="0" borderId="0" xfId="16" applyNumberFormat="1" applyAlignment="1">
      <alignment horizontal="center" vertical="top"/>
    </xf>
    <xf numFmtId="165" fontId="2" fillId="0" borderId="0" xfId="16" applyNumberFormat="1" applyFont="1" applyAlignment="1">
      <alignment horizontal="center" vertical="top"/>
    </xf>
    <xf numFmtId="1" fontId="2" fillId="0" borderId="0" xfId="13" applyNumberFormat="1" applyAlignment="1">
      <alignment horizontal="center" vertical="top"/>
    </xf>
    <xf numFmtId="0" fontId="3" fillId="0" borderId="0" xfId="0" quotePrefix="1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2" fontId="3" fillId="0" borderId="0" xfId="0" quotePrefix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quotePrefix="1" applyFont="1" applyAlignment="1">
      <alignment horizontal="center"/>
    </xf>
  </cellXfs>
  <cellStyles count="17">
    <cellStyle name="Normal" xfId="0" builtinId="0"/>
    <cellStyle name="Normal 16" xfId="1" xr:uid="{00000000-0005-0000-0000-000001000000}"/>
    <cellStyle name="Normal 2" xfId="2" xr:uid="{00000000-0005-0000-0000-000002000000}"/>
    <cellStyle name="Normal 2 2" xfId="3" xr:uid="{00000000-0005-0000-0000-000003000000}"/>
    <cellStyle name="Normal 2 3" xfId="4" xr:uid="{00000000-0005-0000-0000-000004000000}"/>
    <cellStyle name="Normal 2 4" xfId="5" xr:uid="{00000000-0005-0000-0000-000005000000}"/>
    <cellStyle name="Normal 3" xfId="6" xr:uid="{00000000-0005-0000-0000-000006000000}"/>
    <cellStyle name="Normal 3 2" xfId="7" xr:uid="{00000000-0005-0000-0000-000007000000}"/>
    <cellStyle name="Normal 4" xfId="8" xr:uid="{00000000-0005-0000-0000-000008000000}"/>
    <cellStyle name="Normal 4 2" xfId="9" xr:uid="{00000000-0005-0000-0000-000009000000}"/>
    <cellStyle name="Normal 5" xfId="10" xr:uid="{00000000-0005-0000-0000-00000A000000}"/>
    <cellStyle name="Normal 5 2" xfId="11" xr:uid="{00000000-0005-0000-0000-00000B000000}"/>
    <cellStyle name="Normal 6" xfId="12" xr:uid="{00000000-0005-0000-0000-00000C000000}"/>
    <cellStyle name="Normal 7" xfId="16" xr:uid="{00000000-0005-0000-0000-00000D000000}"/>
    <cellStyle name="Normal_Sheet1" xfId="13" xr:uid="{00000000-0005-0000-0000-00000E000000}"/>
    <cellStyle name="Percent 2" xfId="14" xr:uid="{00000000-0005-0000-0000-00000F000000}"/>
    <cellStyle name="Percent 3" xfId="15" xr:uid="{00000000-0005-0000-0000-000010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64"/>
  <sheetViews>
    <sheetView tabSelected="1" topLeftCell="R7" workbookViewId="0">
      <selection activeCell="AM18" sqref="AM18"/>
    </sheetView>
  </sheetViews>
  <sheetFormatPr defaultRowHeight="13.2" x14ac:dyDescent="0.25"/>
  <cols>
    <col min="1" max="1" width="9.44140625" customWidth="1"/>
    <col min="2" max="2" width="19.6640625" customWidth="1"/>
    <col min="3" max="3" width="12.88671875" customWidth="1"/>
    <col min="4" max="7" width="9.33203125" bestFit="1" customWidth="1"/>
    <col min="8" max="8" width="9.5546875" bestFit="1" customWidth="1"/>
    <col min="11" max="13" width="9.33203125" bestFit="1" customWidth="1"/>
    <col min="14" max="14" width="9.5546875" bestFit="1" customWidth="1"/>
    <col min="15" max="17" width="9.33203125" bestFit="1" customWidth="1"/>
    <col min="18" max="18" width="10.6640625" customWidth="1"/>
    <col min="19" max="26" width="9.33203125" bestFit="1" customWidth="1"/>
    <col min="27" max="27" width="12" bestFit="1" customWidth="1"/>
  </cols>
  <sheetData>
    <row r="1" spans="1:33" x14ac:dyDescent="0.25">
      <c r="A1" s="9" t="s">
        <v>50</v>
      </c>
    </row>
    <row r="4" spans="1:33" x14ac:dyDescent="0.25">
      <c r="A4" t="s">
        <v>51</v>
      </c>
    </row>
    <row r="5" spans="1:33" x14ac:dyDescent="0.25">
      <c r="A5" t="s">
        <v>52</v>
      </c>
    </row>
    <row r="8" spans="1:33" x14ac:dyDescent="0.25">
      <c r="A8" s="10" t="s">
        <v>53</v>
      </c>
    </row>
    <row r="11" spans="1:33" x14ac:dyDescent="0.25">
      <c r="A11" s="1" t="s">
        <v>54</v>
      </c>
      <c r="B11" s="1" t="s">
        <v>24</v>
      </c>
      <c r="C11" s="1" t="s">
        <v>92</v>
      </c>
      <c r="D11" s="5" t="s">
        <v>0</v>
      </c>
      <c r="E11" s="5" t="s">
        <v>1</v>
      </c>
      <c r="F11" s="5" t="s">
        <v>2</v>
      </c>
      <c r="G11" s="5" t="s">
        <v>3</v>
      </c>
      <c r="H11" s="5" t="s">
        <v>4</v>
      </c>
      <c r="I11" s="5" t="s">
        <v>5</v>
      </c>
      <c r="J11" s="5" t="s">
        <v>6</v>
      </c>
      <c r="K11" s="5" t="s">
        <v>7</v>
      </c>
      <c r="L11" s="5" t="s">
        <v>8</v>
      </c>
      <c r="M11" s="5" t="s">
        <v>9</v>
      </c>
      <c r="N11" s="5" t="s">
        <v>10</v>
      </c>
      <c r="O11" s="5" t="s">
        <v>11</v>
      </c>
      <c r="P11" s="5" t="s">
        <v>12</v>
      </c>
      <c r="Q11" s="5" t="s">
        <v>13</v>
      </c>
      <c r="R11" s="5" t="s">
        <v>14</v>
      </c>
      <c r="S11" s="5" t="s">
        <v>15</v>
      </c>
      <c r="T11" s="5" t="s">
        <v>16</v>
      </c>
      <c r="U11" s="5" t="s">
        <v>17</v>
      </c>
      <c r="V11" s="5" t="s">
        <v>18</v>
      </c>
      <c r="W11" s="5" t="s">
        <v>19</v>
      </c>
      <c r="X11" s="5" t="s">
        <v>20</v>
      </c>
      <c r="Y11" s="5" t="s">
        <v>21</v>
      </c>
      <c r="Z11" s="5" t="s">
        <v>22</v>
      </c>
      <c r="AA11" s="5" t="s">
        <v>131</v>
      </c>
    </row>
    <row r="12" spans="1:33" x14ac:dyDescent="0.25">
      <c r="B12" s="1"/>
      <c r="C12" s="1" t="s">
        <v>93</v>
      </c>
      <c r="D12" s="29" t="s">
        <v>23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1" t="s">
        <v>93</v>
      </c>
      <c r="AB12" t="s">
        <v>132</v>
      </c>
      <c r="AC12" s="1" t="s">
        <v>133</v>
      </c>
      <c r="AD12" s="1" t="s">
        <v>134</v>
      </c>
      <c r="AE12" s="1" t="s">
        <v>135</v>
      </c>
      <c r="AF12" s="1" t="s">
        <v>136</v>
      </c>
      <c r="AG12" s="1" t="s">
        <v>137</v>
      </c>
    </row>
    <row r="13" spans="1:33" s="1" customFormat="1" x14ac:dyDescent="0.25">
      <c r="A13" s="12" t="s">
        <v>55</v>
      </c>
      <c r="B13" s="11" t="s">
        <v>94</v>
      </c>
      <c r="C13" s="23">
        <v>3.42</v>
      </c>
      <c r="D13" s="18" t="s">
        <v>49</v>
      </c>
      <c r="E13" s="20">
        <v>6.3E-3</v>
      </c>
      <c r="F13" s="20">
        <v>3.8999999999999998E-3</v>
      </c>
      <c r="G13" s="13" t="s">
        <v>49</v>
      </c>
      <c r="H13" s="13">
        <v>6.29</v>
      </c>
      <c r="I13" s="13" t="s">
        <v>49</v>
      </c>
      <c r="J13" s="13" t="s">
        <v>49</v>
      </c>
      <c r="K13" s="14" t="s">
        <v>49</v>
      </c>
      <c r="L13" s="20">
        <v>2.8999999999999998E-3</v>
      </c>
      <c r="M13" s="14" t="s">
        <v>49</v>
      </c>
      <c r="N13" s="14">
        <v>0.17150000000000001</v>
      </c>
      <c r="O13" s="14">
        <v>2.13</v>
      </c>
      <c r="P13" s="14" t="s">
        <v>49</v>
      </c>
      <c r="Q13" s="14" t="s">
        <v>49</v>
      </c>
      <c r="R13" s="13">
        <v>0.93</v>
      </c>
      <c r="S13" s="14" t="s">
        <v>49</v>
      </c>
      <c r="T13" s="15" t="s">
        <v>49</v>
      </c>
      <c r="U13" s="20">
        <v>1E-3</v>
      </c>
      <c r="V13" s="14">
        <v>0.60880000000000001</v>
      </c>
      <c r="W13" s="13" t="s">
        <v>49</v>
      </c>
      <c r="X13" s="14">
        <v>0.75600000000000001</v>
      </c>
      <c r="Y13" s="14">
        <v>1.5800000000000002E-2</v>
      </c>
      <c r="Z13" s="14">
        <v>7.4000000000000003E-3</v>
      </c>
      <c r="AA13" s="26">
        <v>1.8264</v>
      </c>
      <c r="AB13" s="1">
        <f>SUM(C13:U13,W13:AA13)</f>
        <v>15.561199999999999</v>
      </c>
      <c r="AC13" s="1">
        <f>(AA13/AB13)*100</f>
        <v>11.736884044932268</v>
      </c>
      <c r="AD13" s="1">
        <f>(H13/AB13)*100</f>
        <v>40.421047220008745</v>
      </c>
      <c r="AE13" s="1">
        <f>(R13/AB13)*100</f>
        <v>5.9764028481094007</v>
      </c>
      <c r="AF13" s="1">
        <f>(O13/AB13)*100</f>
        <v>13.687890394057014</v>
      </c>
      <c r="AG13" s="1">
        <f>(C13/AB13)*100</f>
        <v>21.977739505950698</v>
      </c>
    </row>
    <row r="14" spans="1:33" s="1" customFormat="1" x14ac:dyDescent="0.25">
      <c r="A14" s="12" t="s">
        <v>56</v>
      </c>
      <c r="B14" s="11" t="s">
        <v>95</v>
      </c>
      <c r="C14" s="23">
        <v>2.37</v>
      </c>
      <c r="D14" s="18" t="s">
        <v>49</v>
      </c>
      <c r="E14" s="20">
        <v>4.5999999999999999E-3</v>
      </c>
      <c r="F14" s="20">
        <v>4.4000000000000003E-3</v>
      </c>
      <c r="G14" s="13" t="s">
        <v>49</v>
      </c>
      <c r="H14" s="15">
        <v>104.2</v>
      </c>
      <c r="I14" s="13" t="s">
        <v>49</v>
      </c>
      <c r="J14" s="20">
        <v>1.2999999999999999E-3</v>
      </c>
      <c r="K14" s="13" t="s">
        <v>49</v>
      </c>
      <c r="L14" s="20">
        <v>1.5E-3</v>
      </c>
      <c r="M14" s="14" t="s">
        <v>49</v>
      </c>
      <c r="N14" s="14">
        <v>0.1847</v>
      </c>
      <c r="O14" s="16">
        <v>44.08</v>
      </c>
      <c r="P14" s="14" t="s">
        <v>49</v>
      </c>
      <c r="Q14" s="14" t="s">
        <v>49</v>
      </c>
      <c r="R14" s="14">
        <v>0.88339999999999996</v>
      </c>
      <c r="S14" s="14" t="s">
        <v>49</v>
      </c>
      <c r="T14" s="15" t="s">
        <v>49</v>
      </c>
      <c r="U14" s="20" t="s">
        <v>49</v>
      </c>
      <c r="V14" s="15">
        <v>137.69999999999999</v>
      </c>
      <c r="W14" s="13" t="s">
        <v>49</v>
      </c>
      <c r="X14" s="14">
        <v>0.85940000000000005</v>
      </c>
      <c r="Y14" s="14">
        <v>3.2300000000000002E-2</v>
      </c>
      <c r="Z14" s="14">
        <v>1.7999999999999999E-2</v>
      </c>
      <c r="AA14" s="28">
        <v>413.09999999999997</v>
      </c>
      <c r="AB14" s="1">
        <f t="shared" ref="AB14:AB49" si="0">SUM(C14:U14,W14:AA14)</f>
        <v>565.73959999999988</v>
      </c>
      <c r="AC14" s="1">
        <f t="shared" ref="AC14:AC49" si="1">(AA14/AB14)*100</f>
        <v>73.019459836292185</v>
      </c>
      <c r="AD14" s="1">
        <f t="shared" ref="AD14:AD49" si="2">(H14/AB14)*100</f>
        <v>18.418367743746419</v>
      </c>
      <c r="AE14" s="1">
        <f t="shared" ref="AE14:AE49" si="3">(R14/AB14)*100</f>
        <v>0.1561495783572513</v>
      </c>
      <c r="AF14" s="1">
        <f t="shared" ref="AF14:AF49" si="4">(O14/AB14)*100</f>
        <v>7.7915705388132643</v>
      </c>
      <c r="AG14" s="1">
        <f t="shared" ref="AG14:AG49" si="5">(C14/AB14)*100</f>
        <v>0.41892064829826314</v>
      </c>
    </row>
    <row r="15" spans="1:33" s="1" customFormat="1" x14ac:dyDescent="0.25">
      <c r="A15" s="12" t="s">
        <v>57</v>
      </c>
      <c r="B15" s="11" t="s">
        <v>96</v>
      </c>
      <c r="C15" s="23">
        <v>2.68</v>
      </c>
      <c r="D15" s="18" t="s">
        <v>49</v>
      </c>
      <c r="E15" s="20">
        <v>3.5000000000000001E-3</v>
      </c>
      <c r="F15" s="20">
        <v>5.4000000000000003E-3</v>
      </c>
      <c r="G15" s="13" t="s">
        <v>49</v>
      </c>
      <c r="H15" s="15">
        <v>241.8</v>
      </c>
      <c r="I15" s="13" t="s">
        <v>49</v>
      </c>
      <c r="J15" s="20">
        <v>1.4E-3</v>
      </c>
      <c r="K15" s="13" t="s">
        <v>49</v>
      </c>
      <c r="L15" s="20" t="s">
        <v>49</v>
      </c>
      <c r="M15" s="14" t="s">
        <v>49</v>
      </c>
      <c r="N15" s="14">
        <v>0.30349999999999999</v>
      </c>
      <c r="O15" s="15">
        <v>104.7</v>
      </c>
      <c r="P15" s="20">
        <v>2E-3</v>
      </c>
      <c r="Q15" s="14" t="s">
        <v>49</v>
      </c>
      <c r="R15" s="14">
        <v>0.89059999999999995</v>
      </c>
      <c r="S15" s="14" t="s">
        <v>49</v>
      </c>
      <c r="T15" s="15" t="s">
        <v>49</v>
      </c>
      <c r="U15" s="20" t="s">
        <v>49</v>
      </c>
      <c r="V15" s="15">
        <v>337.7</v>
      </c>
      <c r="W15" s="13" t="s">
        <v>49</v>
      </c>
      <c r="X15" s="14">
        <v>0.8226</v>
      </c>
      <c r="Y15" s="14">
        <v>6.4299999999999996E-2</v>
      </c>
      <c r="Z15" s="14">
        <v>1.43E-2</v>
      </c>
      <c r="AA15" s="28">
        <v>1013.0999999999999</v>
      </c>
      <c r="AB15" s="1">
        <f t="shared" si="0"/>
        <v>1364.3876</v>
      </c>
      <c r="AC15" s="1">
        <f t="shared" si="1"/>
        <v>74.253093475783558</v>
      </c>
      <c r="AD15" s="1">
        <f t="shared" si="2"/>
        <v>17.722236701652815</v>
      </c>
      <c r="AE15" s="1">
        <f t="shared" si="3"/>
        <v>6.5274706395748533E-2</v>
      </c>
      <c r="AF15" s="1">
        <f t="shared" si="4"/>
        <v>7.6737724675891226</v>
      </c>
      <c r="AG15" s="1">
        <f t="shared" si="5"/>
        <v>0.1964251214244398</v>
      </c>
    </row>
    <row r="16" spans="1:33" s="1" customFormat="1" x14ac:dyDescent="0.25">
      <c r="A16" s="12" t="s">
        <v>58</v>
      </c>
      <c r="B16" s="11" t="s">
        <v>97</v>
      </c>
      <c r="C16" s="25">
        <v>2.4</v>
      </c>
      <c r="D16" s="18" t="s">
        <v>49</v>
      </c>
      <c r="E16" s="21" t="s">
        <v>49</v>
      </c>
      <c r="F16" s="20">
        <v>3.3999999999999998E-3</v>
      </c>
      <c r="G16" s="13" t="s">
        <v>49</v>
      </c>
      <c r="H16" s="16">
        <v>54.81</v>
      </c>
      <c r="I16" s="13" t="s">
        <v>49</v>
      </c>
      <c r="J16" s="20" t="s">
        <v>49</v>
      </c>
      <c r="K16" s="13" t="s">
        <v>49</v>
      </c>
      <c r="L16" s="20">
        <v>1.1000000000000001E-3</v>
      </c>
      <c r="M16" s="14">
        <v>1.9E-3</v>
      </c>
      <c r="N16" s="14">
        <v>0.22270000000000001</v>
      </c>
      <c r="O16" s="16">
        <v>22.95</v>
      </c>
      <c r="P16" s="20" t="s">
        <v>49</v>
      </c>
      <c r="Q16" s="14" t="s">
        <v>49</v>
      </c>
      <c r="R16" s="14">
        <v>0.84130000000000005</v>
      </c>
      <c r="S16" s="14" t="s">
        <v>49</v>
      </c>
      <c r="T16" s="15" t="s">
        <v>49</v>
      </c>
      <c r="U16" s="20">
        <v>1.1000000000000001E-3</v>
      </c>
      <c r="V16" s="16">
        <v>69.13</v>
      </c>
      <c r="W16" s="13" t="s">
        <v>49</v>
      </c>
      <c r="X16" s="14">
        <v>0.79690000000000005</v>
      </c>
      <c r="Y16" s="14">
        <v>2.6100000000000002E-2</v>
      </c>
      <c r="Z16" s="14">
        <v>1.3899999999999999E-2</v>
      </c>
      <c r="AA16" s="28">
        <v>207.39</v>
      </c>
      <c r="AB16" s="1">
        <f t="shared" si="0"/>
        <v>289.45839999999998</v>
      </c>
      <c r="AC16" s="1">
        <f t="shared" si="1"/>
        <v>71.647601175160219</v>
      </c>
      <c r="AD16" s="1">
        <f t="shared" si="2"/>
        <v>18.935363423552403</v>
      </c>
      <c r="AE16" s="1">
        <f t="shared" si="3"/>
        <v>0.29064625521318438</v>
      </c>
      <c r="AF16" s="1">
        <f t="shared" si="4"/>
        <v>7.9286004482854873</v>
      </c>
      <c r="AG16" s="1">
        <f t="shared" si="5"/>
        <v>0.82913468740240392</v>
      </c>
    </row>
    <row r="17" spans="1:33" s="1" customFormat="1" x14ac:dyDescent="0.25">
      <c r="A17" s="12" t="s">
        <v>59</v>
      </c>
      <c r="B17" s="11" t="s">
        <v>98</v>
      </c>
      <c r="C17" s="23">
        <v>2.4500000000000002</v>
      </c>
      <c r="D17" s="18" t="s">
        <v>49</v>
      </c>
      <c r="E17" s="20">
        <v>2.8999999999999998E-3</v>
      </c>
      <c r="F17" s="20">
        <v>4.0000000000000001E-3</v>
      </c>
      <c r="G17" s="13" t="s">
        <v>49</v>
      </c>
      <c r="H17" s="15">
        <v>194.9</v>
      </c>
      <c r="I17" s="13" t="s">
        <v>49</v>
      </c>
      <c r="J17" s="20">
        <v>1.2999999999999999E-3</v>
      </c>
      <c r="K17" s="20">
        <v>1E-3</v>
      </c>
      <c r="L17" s="20" t="s">
        <v>49</v>
      </c>
      <c r="M17" s="14" t="s">
        <v>49</v>
      </c>
      <c r="N17" s="14">
        <v>0.14449999999999999</v>
      </c>
      <c r="O17" s="16">
        <v>83.4</v>
      </c>
      <c r="P17" s="20" t="s">
        <v>49</v>
      </c>
      <c r="Q17" s="14" t="s">
        <v>49</v>
      </c>
      <c r="R17" s="14">
        <v>0.76629999999999998</v>
      </c>
      <c r="S17" s="14" t="s">
        <v>49</v>
      </c>
      <c r="T17" s="15" t="s">
        <v>49</v>
      </c>
      <c r="U17" s="20" t="s">
        <v>49</v>
      </c>
      <c r="V17" s="15">
        <v>267.7</v>
      </c>
      <c r="W17" s="13" t="s">
        <v>49</v>
      </c>
      <c r="X17" s="14">
        <v>0.74990000000000001</v>
      </c>
      <c r="Y17" s="14">
        <v>5.1400000000000001E-2</v>
      </c>
      <c r="Z17" s="14">
        <v>1.4500000000000001E-2</v>
      </c>
      <c r="AA17" s="28">
        <v>803.09999999999991</v>
      </c>
      <c r="AB17" s="1">
        <f t="shared" si="0"/>
        <v>1085.5857999999998</v>
      </c>
      <c r="AC17" s="1">
        <f t="shared" si="1"/>
        <v>73.97849161254689</v>
      </c>
      <c r="AD17" s="1">
        <f t="shared" si="2"/>
        <v>17.953440437411768</v>
      </c>
      <c r="AE17" s="1">
        <f t="shared" si="3"/>
        <v>7.0588616763410147E-2</v>
      </c>
      <c r="AF17" s="1">
        <f t="shared" si="4"/>
        <v>7.6824881091849235</v>
      </c>
      <c r="AG17" s="1">
        <f t="shared" si="5"/>
        <v>0.22568460272785443</v>
      </c>
    </row>
    <row r="18" spans="1:33" s="1" customFormat="1" x14ac:dyDescent="0.25">
      <c r="A18" s="12" t="s">
        <v>60</v>
      </c>
      <c r="B18" s="11" t="s">
        <v>99</v>
      </c>
      <c r="C18" s="23">
        <v>2.57</v>
      </c>
      <c r="D18" s="18" t="s">
        <v>49</v>
      </c>
      <c r="E18" s="20">
        <v>1.9E-3</v>
      </c>
      <c r="F18" s="20">
        <v>3.3999999999999998E-3</v>
      </c>
      <c r="G18" s="13" t="s">
        <v>49</v>
      </c>
      <c r="H18" s="15">
        <v>150.5</v>
      </c>
      <c r="I18" s="13" t="s">
        <v>49</v>
      </c>
      <c r="J18" s="20" t="s">
        <v>49</v>
      </c>
      <c r="K18" s="20" t="s">
        <v>49</v>
      </c>
      <c r="L18" s="20">
        <v>2.8E-3</v>
      </c>
      <c r="M18" s="14" t="s">
        <v>49</v>
      </c>
      <c r="N18" s="14">
        <v>0.31569999999999998</v>
      </c>
      <c r="O18" s="16">
        <v>64.069999999999993</v>
      </c>
      <c r="P18" s="20" t="s">
        <v>49</v>
      </c>
      <c r="Q18" s="14" t="s">
        <v>49</v>
      </c>
      <c r="R18" s="14">
        <v>0.98909999999999998</v>
      </c>
      <c r="S18" s="14" t="s">
        <v>49</v>
      </c>
      <c r="T18" s="15" t="s">
        <v>49</v>
      </c>
      <c r="U18" s="20">
        <v>2.3999999999999998E-3</v>
      </c>
      <c r="V18" s="15">
        <v>204.3</v>
      </c>
      <c r="W18" s="13" t="s">
        <v>49</v>
      </c>
      <c r="X18" s="14">
        <v>0.83509999999999995</v>
      </c>
      <c r="Y18" s="14">
        <v>4.36E-2</v>
      </c>
      <c r="Z18" s="14">
        <v>1.7899999999999999E-2</v>
      </c>
      <c r="AA18" s="28">
        <v>612.90000000000009</v>
      </c>
      <c r="AB18" s="1">
        <f t="shared" si="0"/>
        <v>832.25190000000009</v>
      </c>
      <c r="AC18" s="1">
        <f t="shared" si="1"/>
        <v>73.643568732014913</v>
      </c>
      <c r="AD18" s="1">
        <f t="shared" si="2"/>
        <v>18.083467277154909</v>
      </c>
      <c r="AE18" s="1">
        <f t="shared" si="3"/>
        <v>0.11884622912846457</v>
      </c>
      <c r="AF18" s="1">
        <f t="shared" si="4"/>
        <v>7.6983903551316599</v>
      </c>
      <c r="AG18" s="1">
        <f t="shared" si="5"/>
        <v>0.30880073689227977</v>
      </c>
    </row>
    <row r="19" spans="1:33" s="1" customFormat="1" x14ac:dyDescent="0.25">
      <c r="A19" s="12" t="s">
        <v>61</v>
      </c>
      <c r="B19" s="11" t="s">
        <v>100</v>
      </c>
      <c r="C19" s="23">
        <v>2.36</v>
      </c>
      <c r="D19" s="18" t="s">
        <v>49</v>
      </c>
      <c r="E19" s="20">
        <v>4.3E-3</v>
      </c>
      <c r="F19" s="20">
        <v>3.5000000000000001E-3</v>
      </c>
      <c r="G19" s="13" t="s">
        <v>49</v>
      </c>
      <c r="H19" s="15">
        <v>148.30000000000001</v>
      </c>
      <c r="I19" s="13" t="s">
        <v>49</v>
      </c>
      <c r="J19" s="20" t="s">
        <v>49</v>
      </c>
      <c r="K19" s="20" t="s">
        <v>49</v>
      </c>
      <c r="L19" s="20">
        <v>2.5000000000000001E-3</v>
      </c>
      <c r="M19" s="14" t="s">
        <v>49</v>
      </c>
      <c r="N19" s="14">
        <v>0.105</v>
      </c>
      <c r="O19" s="16">
        <v>63.4</v>
      </c>
      <c r="P19" s="20" t="s">
        <v>49</v>
      </c>
      <c r="Q19" s="14" t="s">
        <v>49</v>
      </c>
      <c r="R19" s="14">
        <v>0.90849999999999997</v>
      </c>
      <c r="S19" s="20">
        <v>1.1999999999999999E-3</v>
      </c>
      <c r="T19" s="15" t="s">
        <v>49</v>
      </c>
      <c r="U19" s="20" t="s">
        <v>49</v>
      </c>
      <c r="V19" s="15">
        <v>202.3</v>
      </c>
      <c r="W19" s="13" t="s">
        <v>49</v>
      </c>
      <c r="X19" s="14">
        <v>0.88460000000000005</v>
      </c>
      <c r="Y19" s="14">
        <v>4.5999999999999999E-2</v>
      </c>
      <c r="Z19" s="14">
        <v>2.4899999999999999E-2</v>
      </c>
      <c r="AA19" s="28">
        <v>606.90000000000009</v>
      </c>
      <c r="AB19" s="1">
        <f t="shared" si="0"/>
        <v>822.94050000000016</v>
      </c>
      <c r="AC19" s="1">
        <f t="shared" si="1"/>
        <v>73.747737533880027</v>
      </c>
      <c r="AD19" s="1">
        <f t="shared" si="2"/>
        <v>18.020743905543593</v>
      </c>
      <c r="AE19" s="1">
        <f t="shared" si="3"/>
        <v>0.11039680268500576</v>
      </c>
      <c r="AF19" s="1">
        <f t="shared" si="4"/>
        <v>7.7040806716888994</v>
      </c>
      <c r="AG19" s="1">
        <f t="shared" si="5"/>
        <v>0.28677650449819875</v>
      </c>
    </row>
    <row r="20" spans="1:33" s="1" customFormat="1" x14ac:dyDescent="0.25">
      <c r="A20" s="12" t="s">
        <v>62</v>
      </c>
      <c r="B20" s="11" t="s">
        <v>101</v>
      </c>
      <c r="C20" s="23">
        <v>2.42</v>
      </c>
      <c r="D20" s="18" t="s">
        <v>49</v>
      </c>
      <c r="E20" s="20">
        <v>5.5999999999999999E-3</v>
      </c>
      <c r="F20" s="20">
        <v>2.0999999999999999E-3</v>
      </c>
      <c r="G20" s="13" t="s">
        <v>49</v>
      </c>
      <c r="H20" s="16">
        <v>56.12</v>
      </c>
      <c r="I20" s="13" t="s">
        <v>49</v>
      </c>
      <c r="J20" s="20" t="s">
        <v>49</v>
      </c>
      <c r="K20" s="20" t="s">
        <v>49</v>
      </c>
      <c r="L20" s="20">
        <v>1.8E-3</v>
      </c>
      <c r="M20" s="14" t="s">
        <v>49</v>
      </c>
      <c r="N20" s="14">
        <v>0.1331</v>
      </c>
      <c r="O20" s="16">
        <v>23.18</v>
      </c>
      <c r="P20" s="20" t="s">
        <v>49</v>
      </c>
      <c r="Q20" s="14" t="s">
        <v>49</v>
      </c>
      <c r="R20" s="14">
        <v>0.91510000000000002</v>
      </c>
      <c r="S20" s="20">
        <v>1.2999999999999999E-3</v>
      </c>
      <c r="T20" s="15" t="s">
        <v>49</v>
      </c>
      <c r="U20" s="20">
        <v>1.5E-3</v>
      </c>
      <c r="V20" s="16">
        <v>69.709999999999994</v>
      </c>
      <c r="W20" s="13" t="s">
        <v>49</v>
      </c>
      <c r="X20" s="14">
        <v>0.96750000000000003</v>
      </c>
      <c r="Y20" s="14">
        <v>2.69E-2</v>
      </c>
      <c r="Z20" s="14">
        <v>1.5100000000000001E-2</v>
      </c>
      <c r="AA20" s="28">
        <v>209.13</v>
      </c>
      <c r="AB20" s="1">
        <f t="shared" si="0"/>
        <v>292.91999999999996</v>
      </c>
      <c r="AC20" s="1">
        <f t="shared" si="1"/>
        <v>71.394920114707091</v>
      </c>
      <c r="AD20" s="1">
        <f t="shared" si="2"/>
        <v>19.158814693431655</v>
      </c>
      <c r="AE20" s="1">
        <f t="shared" si="3"/>
        <v>0.31240611771132054</v>
      </c>
      <c r="AF20" s="1">
        <f t="shared" si="4"/>
        <v>7.913423460330467</v>
      </c>
      <c r="AG20" s="1">
        <f t="shared" si="5"/>
        <v>0.82616414037962582</v>
      </c>
    </row>
    <row r="21" spans="1:33" s="1" customFormat="1" x14ac:dyDescent="0.25">
      <c r="A21" s="12" t="s">
        <v>63</v>
      </c>
      <c r="B21" s="11" t="s">
        <v>102</v>
      </c>
      <c r="C21" s="23">
        <v>2.38</v>
      </c>
      <c r="D21" s="18" t="s">
        <v>49</v>
      </c>
      <c r="E21" s="20">
        <v>4.3E-3</v>
      </c>
      <c r="F21" s="20">
        <v>2.2000000000000001E-3</v>
      </c>
      <c r="G21" s="13" t="s">
        <v>49</v>
      </c>
      <c r="H21" s="14">
        <v>6.7</v>
      </c>
      <c r="I21" s="13" t="s">
        <v>49</v>
      </c>
      <c r="J21" s="20" t="s">
        <v>49</v>
      </c>
      <c r="K21" s="20" t="s">
        <v>49</v>
      </c>
      <c r="L21" s="20">
        <v>1.2999999999999999E-3</v>
      </c>
      <c r="M21" s="14" t="s">
        <v>49</v>
      </c>
      <c r="N21" s="14">
        <v>0.10630000000000001</v>
      </c>
      <c r="O21" s="14">
        <v>2.1949999999999998</v>
      </c>
      <c r="P21" s="20" t="s">
        <v>49</v>
      </c>
      <c r="Q21" s="14" t="s">
        <v>49</v>
      </c>
      <c r="R21" s="14">
        <v>0.85489999999999999</v>
      </c>
      <c r="S21" s="20">
        <v>1.6000000000000001E-3</v>
      </c>
      <c r="T21" s="15" t="s">
        <v>49</v>
      </c>
      <c r="U21" s="20" t="s">
        <v>49</v>
      </c>
      <c r="V21" s="14">
        <v>1.054</v>
      </c>
      <c r="W21" s="13" t="s">
        <v>49</v>
      </c>
      <c r="X21" s="14">
        <v>0.76119999999999999</v>
      </c>
      <c r="Y21" s="14">
        <v>1.7100000000000001E-2</v>
      </c>
      <c r="Z21" s="14">
        <v>9.4999999999999998E-3</v>
      </c>
      <c r="AA21" s="26">
        <v>3.1619999999999999</v>
      </c>
      <c r="AB21" s="1">
        <f t="shared" si="0"/>
        <v>16.195399999999999</v>
      </c>
      <c r="AC21" s="1">
        <f t="shared" si="1"/>
        <v>19.524062388085504</v>
      </c>
      <c r="AD21" s="1">
        <f t="shared" si="2"/>
        <v>41.369771663558794</v>
      </c>
      <c r="AE21" s="1">
        <f t="shared" si="3"/>
        <v>5.2786593724143893</v>
      </c>
      <c r="AF21" s="1">
        <f t="shared" si="4"/>
        <v>13.553231164404709</v>
      </c>
      <c r="AG21" s="1">
        <f t="shared" si="5"/>
        <v>14.695530829741779</v>
      </c>
    </row>
    <row r="22" spans="1:33" s="1" customFormat="1" x14ac:dyDescent="0.25">
      <c r="A22" s="12" t="s">
        <v>64</v>
      </c>
      <c r="B22" s="11" t="s">
        <v>103</v>
      </c>
      <c r="C22" s="23">
        <v>2.33</v>
      </c>
      <c r="D22" s="18" t="s">
        <v>49</v>
      </c>
      <c r="E22" s="20">
        <v>1.6000000000000001E-3</v>
      </c>
      <c r="F22" s="20">
        <v>3.5999999999999999E-3</v>
      </c>
      <c r="G22" s="13" t="s">
        <v>49</v>
      </c>
      <c r="H22" s="15">
        <v>101</v>
      </c>
      <c r="I22" s="13" t="s">
        <v>49</v>
      </c>
      <c r="J22" s="20">
        <v>1.1000000000000001E-3</v>
      </c>
      <c r="K22" s="20" t="s">
        <v>49</v>
      </c>
      <c r="L22" s="20">
        <v>3.7000000000000002E-3</v>
      </c>
      <c r="M22" s="14" t="s">
        <v>49</v>
      </c>
      <c r="N22" s="14">
        <v>0.1168</v>
      </c>
      <c r="O22" s="16">
        <v>42.38</v>
      </c>
      <c r="P22" s="20" t="s">
        <v>49</v>
      </c>
      <c r="Q22" s="14" t="s">
        <v>49</v>
      </c>
      <c r="R22" s="14">
        <v>0.9375</v>
      </c>
      <c r="S22" s="20" t="s">
        <v>49</v>
      </c>
      <c r="T22" s="15" t="s">
        <v>49</v>
      </c>
      <c r="U22" s="20" t="s">
        <v>49</v>
      </c>
      <c r="V22" s="15">
        <v>134.19999999999999</v>
      </c>
      <c r="W22" s="13" t="s">
        <v>49</v>
      </c>
      <c r="X22" s="14">
        <v>0.80740000000000001</v>
      </c>
      <c r="Y22" s="14">
        <v>3.5099999999999999E-2</v>
      </c>
      <c r="Z22" s="14">
        <v>1.7100000000000001E-2</v>
      </c>
      <c r="AA22" s="28">
        <v>402.59999999999997</v>
      </c>
      <c r="AB22" s="1">
        <f t="shared" si="0"/>
        <v>550.23389999999995</v>
      </c>
      <c r="AC22" s="1">
        <f t="shared" si="1"/>
        <v>73.168883269460494</v>
      </c>
      <c r="AD22" s="1">
        <f t="shared" si="2"/>
        <v>18.355830129695754</v>
      </c>
      <c r="AE22" s="1">
        <f t="shared" si="3"/>
        <v>0.1703820865998987</v>
      </c>
      <c r="AF22" s="1">
        <f t="shared" si="4"/>
        <v>7.7021790187772883</v>
      </c>
      <c r="AG22" s="1">
        <f t="shared" si="5"/>
        <v>0.42345627922961493</v>
      </c>
    </row>
    <row r="23" spans="1:33" s="1" customFormat="1" x14ac:dyDescent="0.25">
      <c r="A23" s="12" t="s">
        <v>65</v>
      </c>
      <c r="B23" s="11" t="s">
        <v>104</v>
      </c>
      <c r="C23" s="23">
        <v>2.41</v>
      </c>
      <c r="D23" s="18" t="s">
        <v>49</v>
      </c>
      <c r="E23" s="20">
        <v>2.5000000000000001E-3</v>
      </c>
      <c r="F23" s="20">
        <v>2.5999999999999999E-3</v>
      </c>
      <c r="G23" s="13" t="s">
        <v>49</v>
      </c>
      <c r="H23" s="15">
        <v>245.5</v>
      </c>
      <c r="I23" s="13" t="s">
        <v>49</v>
      </c>
      <c r="J23" s="20">
        <v>1.2999999999999999E-3</v>
      </c>
      <c r="K23" s="20">
        <v>1.1000000000000001E-3</v>
      </c>
      <c r="L23" s="20">
        <v>1.2999999999999999E-3</v>
      </c>
      <c r="M23" s="14" t="s">
        <v>49</v>
      </c>
      <c r="N23" s="14">
        <v>0.14119999999999999</v>
      </c>
      <c r="O23" s="15">
        <v>103.8</v>
      </c>
      <c r="P23" s="20" t="s">
        <v>49</v>
      </c>
      <c r="Q23" s="14" t="s">
        <v>49</v>
      </c>
      <c r="R23" s="14">
        <v>0.84730000000000005</v>
      </c>
      <c r="S23" s="20" t="s">
        <v>49</v>
      </c>
      <c r="T23" s="15" t="s">
        <v>49</v>
      </c>
      <c r="U23" s="20" t="s">
        <v>49</v>
      </c>
      <c r="V23" s="15">
        <v>338.5</v>
      </c>
      <c r="W23" s="13" t="s">
        <v>49</v>
      </c>
      <c r="X23" s="14">
        <v>0.75480000000000003</v>
      </c>
      <c r="Y23" s="14">
        <v>0.1003</v>
      </c>
      <c r="Z23" s="14">
        <v>2.9399999999999999E-2</v>
      </c>
      <c r="AA23" s="28">
        <v>1015.5</v>
      </c>
      <c r="AB23" s="1">
        <f t="shared" si="0"/>
        <v>1369.0917999999999</v>
      </c>
      <c r="AC23" s="1">
        <f t="shared" si="1"/>
        <v>74.173258506113328</v>
      </c>
      <c r="AD23" s="1">
        <f t="shared" si="2"/>
        <v>17.931595237076142</v>
      </c>
      <c r="AE23" s="1">
        <f t="shared" si="3"/>
        <v>6.1887741932279493E-2</v>
      </c>
      <c r="AF23" s="1">
        <f t="shared" si="4"/>
        <v>7.5816683731507268</v>
      </c>
      <c r="AG23" s="1">
        <f t="shared" si="5"/>
        <v>0.17602910191997354</v>
      </c>
    </row>
    <row r="24" spans="1:33" s="1" customFormat="1" x14ac:dyDescent="0.25">
      <c r="A24" s="12" t="s">
        <v>66</v>
      </c>
      <c r="B24" s="11" t="s">
        <v>105</v>
      </c>
      <c r="C24" s="23">
        <v>2.59</v>
      </c>
      <c r="D24" s="18" t="s">
        <v>49</v>
      </c>
      <c r="E24" s="20">
        <v>4.1000000000000003E-3</v>
      </c>
      <c r="F24" s="20">
        <v>4.1000000000000003E-3</v>
      </c>
      <c r="G24" s="13" t="s">
        <v>49</v>
      </c>
      <c r="H24" s="15">
        <v>198.3</v>
      </c>
      <c r="I24" s="13" t="s">
        <v>49</v>
      </c>
      <c r="J24" s="20">
        <v>2.3999999999999998E-3</v>
      </c>
      <c r="K24" s="20">
        <v>1E-3</v>
      </c>
      <c r="L24" s="20">
        <v>1.6000000000000001E-3</v>
      </c>
      <c r="M24" s="14" t="s">
        <v>49</v>
      </c>
      <c r="N24" s="14">
        <v>0.28010000000000002</v>
      </c>
      <c r="O24" s="16">
        <v>85.33</v>
      </c>
      <c r="P24" s="20">
        <v>1.6000000000000001E-3</v>
      </c>
      <c r="Q24" s="14" t="s">
        <v>49</v>
      </c>
      <c r="R24" s="14">
        <v>1.0389999999999999</v>
      </c>
      <c r="S24" s="20">
        <v>1.6000000000000001E-3</v>
      </c>
      <c r="T24" s="15" t="s">
        <v>49</v>
      </c>
      <c r="U24" s="20" t="s">
        <v>49</v>
      </c>
      <c r="V24" s="15">
        <v>274.60000000000002</v>
      </c>
      <c r="W24" s="13" t="s">
        <v>49</v>
      </c>
      <c r="X24" s="14">
        <v>0.87160000000000004</v>
      </c>
      <c r="Y24" s="14">
        <v>7.7499999999999999E-2</v>
      </c>
      <c r="Z24" s="14">
        <v>2.52E-2</v>
      </c>
      <c r="AA24" s="28">
        <v>823.80000000000007</v>
      </c>
      <c r="AB24" s="1">
        <f t="shared" si="0"/>
        <v>1112.3298</v>
      </c>
      <c r="AC24" s="1">
        <f t="shared" si="1"/>
        <v>74.06076866770988</v>
      </c>
      <c r="AD24" s="1">
        <f t="shared" si="2"/>
        <v>17.827446500129728</v>
      </c>
      <c r="AE24" s="1">
        <f t="shared" si="3"/>
        <v>9.3407548732399329E-2</v>
      </c>
      <c r="AF24" s="1">
        <f t="shared" si="4"/>
        <v>7.6712859801112945</v>
      </c>
      <c r="AG24" s="1">
        <f t="shared" si="5"/>
        <v>0.23284461137335349</v>
      </c>
    </row>
    <row r="25" spans="1:33" s="1" customFormat="1" x14ac:dyDescent="0.25">
      <c r="A25" s="12" t="s">
        <v>67</v>
      </c>
      <c r="B25" s="11" t="s">
        <v>106</v>
      </c>
      <c r="C25" s="23">
        <v>2.34</v>
      </c>
      <c r="D25" s="18" t="s">
        <v>49</v>
      </c>
      <c r="E25" s="20">
        <v>3.5999999999999999E-3</v>
      </c>
      <c r="F25" s="20">
        <v>2.3999999999999998E-3</v>
      </c>
      <c r="G25" s="13" t="s">
        <v>49</v>
      </c>
      <c r="H25" s="16">
        <v>54.9</v>
      </c>
      <c r="I25" s="13" t="s">
        <v>49</v>
      </c>
      <c r="J25" s="20" t="s">
        <v>49</v>
      </c>
      <c r="K25" s="20" t="s">
        <v>49</v>
      </c>
      <c r="L25" s="20" t="s">
        <v>49</v>
      </c>
      <c r="M25" s="14" t="s">
        <v>49</v>
      </c>
      <c r="N25" s="14">
        <v>0.28989999999999999</v>
      </c>
      <c r="O25" s="16">
        <v>22.95</v>
      </c>
      <c r="P25" s="20" t="s">
        <v>49</v>
      </c>
      <c r="Q25" s="14" t="s">
        <v>49</v>
      </c>
      <c r="R25" s="14">
        <v>0.97729999999999995</v>
      </c>
      <c r="S25" s="20">
        <v>1E-3</v>
      </c>
      <c r="T25" s="15" t="s">
        <v>49</v>
      </c>
      <c r="U25" s="20">
        <v>2.8999999999999998E-3</v>
      </c>
      <c r="V25" s="16">
        <v>69.37</v>
      </c>
      <c r="W25" s="13" t="s">
        <v>49</v>
      </c>
      <c r="X25" s="14">
        <v>0.78029999999999999</v>
      </c>
      <c r="Y25" s="14">
        <v>2.2700000000000001E-2</v>
      </c>
      <c r="Z25" s="14">
        <v>1.7899999999999999E-2</v>
      </c>
      <c r="AA25" s="28">
        <v>208.11</v>
      </c>
      <c r="AB25" s="1">
        <f t="shared" si="0"/>
        <v>290.39800000000002</v>
      </c>
      <c r="AC25" s="1">
        <f t="shared" si="1"/>
        <v>71.663716692263719</v>
      </c>
      <c r="AD25" s="1">
        <f t="shared" si="2"/>
        <v>18.905088878022575</v>
      </c>
      <c r="AE25" s="1">
        <f t="shared" si="3"/>
        <v>0.33653813042789549</v>
      </c>
      <c r="AF25" s="1">
        <f t="shared" si="4"/>
        <v>7.9029469899930422</v>
      </c>
      <c r="AG25" s="1">
        <f t="shared" si="5"/>
        <v>0.80579067348948674</v>
      </c>
    </row>
    <row r="26" spans="1:33" s="1" customFormat="1" x14ac:dyDescent="0.25">
      <c r="A26" s="12" t="s">
        <v>68</v>
      </c>
      <c r="B26" s="11" t="s">
        <v>107</v>
      </c>
      <c r="C26" s="23">
        <v>2.5299999999999998</v>
      </c>
      <c r="D26" s="18" t="s">
        <v>49</v>
      </c>
      <c r="E26" s="20">
        <v>2.3999999999999998E-3</v>
      </c>
      <c r="F26" s="20">
        <v>5.0000000000000001E-3</v>
      </c>
      <c r="G26" s="13" t="s">
        <v>49</v>
      </c>
      <c r="H26" s="15">
        <v>197.7</v>
      </c>
      <c r="I26" s="13" t="s">
        <v>49</v>
      </c>
      <c r="J26" s="20">
        <v>1.9E-3</v>
      </c>
      <c r="K26" s="20" t="s">
        <v>49</v>
      </c>
      <c r="L26" s="20" t="s">
        <v>49</v>
      </c>
      <c r="M26" s="14" t="s">
        <v>49</v>
      </c>
      <c r="N26" s="14">
        <v>0.504</v>
      </c>
      <c r="O26" s="16">
        <v>84.87</v>
      </c>
      <c r="P26" s="20" t="s">
        <v>49</v>
      </c>
      <c r="Q26" s="14" t="s">
        <v>49</v>
      </c>
      <c r="R26" s="14">
        <v>1.02</v>
      </c>
      <c r="S26" s="20" t="s">
        <v>49</v>
      </c>
      <c r="T26" s="15" t="s">
        <v>49</v>
      </c>
      <c r="U26" s="20" t="s">
        <v>49</v>
      </c>
      <c r="V26" s="15">
        <v>272.5</v>
      </c>
      <c r="W26" s="13" t="s">
        <v>49</v>
      </c>
      <c r="X26" s="14">
        <v>0.93930000000000002</v>
      </c>
      <c r="Y26" s="14">
        <v>5.6000000000000001E-2</v>
      </c>
      <c r="Z26" s="14">
        <v>1.72E-2</v>
      </c>
      <c r="AA26" s="28">
        <v>817.5</v>
      </c>
      <c r="AB26" s="1">
        <f t="shared" si="0"/>
        <v>1105.1458</v>
      </c>
      <c r="AC26" s="1">
        <f t="shared" si="1"/>
        <v>73.972140146576137</v>
      </c>
      <c r="AD26" s="1">
        <f t="shared" si="2"/>
        <v>17.889042332694924</v>
      </c>
      <c r="AE26" s="1">
        <f t="shared" si="3"/>
        <v>9.229551431132435E-2</v>
      </c>
      <c r="AF26" s="1">
        <f t="shared" si="4"/>
        <v>7.6795297054922536</v>
      </c>
      <c r="AG26" s="1">
        <f t="shared" si="5"/>
        <v>0.22892906981142216</v>
      </c>
    </row>
    <row r="27" spans="1:33" s="1" customFormat="1" x14ac:dyDescent="0.25">
      <c r="A27" s="12" t="s">
        <v>69</v>
      </c>
      <c r="B27" s="11" t="s">
        <v>108</v>
      </c>
      <c r="C27" s="23">
        <v>2.41</v>
      </c>
      <c r="D27" s="18" t="s">
        <v>49</v>
      </c>
      <c r="E27" s="20">
        <v>1.9E-3</v>
      </c>
      <c r="F27" s="20">
        <v>4.4999999999999997E-3</v>
      </c>
      <c r="G27" s="13" t="s">
        <v>49</v>
      </c>
      <c r="H27" s="15">
        <v>151.6</v>
      </c>
      <c r="I27" s="13" t="s">
        <v>49</v>
      </c>
      <c r="J27" s="20">
        <v>1.2999999999999999E-3</v>
      </c>
      <c r="K27" s="20">
        <v>1.2999999999999999E-3</v>
      </c>
      <c r="L27" s="20" t="s">
        <v>49</v>
      </c>
      <c r="M27" s="14" t="s">
        <v>49</v>
      </c>
      <c r="N27" s="14">
        <v>0.47539999999999999</v>
      </c>
      <c r="O27" s="16">
        <v>65.05</v>
      </c>
      <c r="P27" s="20">
        <v>1.1000000000000001E-3</v>
      </c>
      <c r="Q27" s="14" t="s">
        <v>49</v>
      </c>
      <c r="R27" s="14">
        <v>1.036</v>
      </c>
      <c r="S27" s="20" t="s">
        <v>49</v>
      </c>
      <c r="T27" s="15" t="s">
        <v>49</v>
      </c>
      <c r="U27" s="20" t="s">
        <v>49</v>
      </c>
      <c r="V27" s="15">
        <v>206.2</v>
      </c>
      <c r="W27" s="13" t="s">
        <v>49</v>
      </c>
      <c r="X27" s="14">
        <v>0.97660000000000002</v>
      </c>
      <c r="Y27" s="14">
        <v>5.1799999999999999E-2</v>
      </c>
      <c r="Z27" s="14">
        <v>1.0500000000000001E-2</v>
      </c>
      <c r="AA27" s="28">
        <v>618.59999999999991</v>
      </c>
      <c r="AB27" s="1">
        <f t="shared" si="0"/>
        <v>840.22039999999993</v>
      </c>
      <c r="AC27" s="1">
        <f t="shared" si="1"/>
        <v>73.623539728385552</v>
      </c>
      <c r="AD27" s="1">
        <f t="shared" si="2"/>
        <v>18.042884938285241</v>
      </c>
      <c r="AE27" s="1">
        <f t="shared" si="3"/>
        <v>0.12330098150437672</v>
      </c>
      <c r="AF27" s="1">
        <f t="shared" si="4"/>
        <v>7.7420162614475911</v>
      </c>
      <c r="AG27" s="1">
        <f t="shared" si="5"/>
        <v>0.28682950330651341</v>
      </c>
    </row>
    <row r="28" spans="1:33" s="1" customFormat="1" x14ac:dyDescent="0.25">
      <c r="A28" s="12" t="s">
        <v>70</v>
      </c>
      <c r="B28" s="11" t="s">
        <v>109</v>
      </c>
      <c r="C28" s="23">
        <v>2.46</v>
      </c>
      <c r="D28" s="18" t="s">
        <v>49</v>
      </c>
      <c r="E28" s="20">
        <v>4.4000000000000003E-3</v>
      </c>
      <c r="F28" s="20">
        <v>2.0999999999999999E-3</v>
      </c>
      <c r="G28" s="13" t="s">
        <v>49</v>
      </c>
      <c r="H28" s="15">
        <v>237.9</v>
      </c>
      <c r="I28" s="13" t="s">
        <v>49</v>
      </c>
      <c r="J28" s="20" t="s">
        <v>49</v>
      </c>
      <c r="K28" s="20" t="s">
        <v>49</v>
      </c>
      <c r="L28" s="20" t="s">
        <v>49</v>
      </c>
      <c r="M28" s="14" t="s">
        <v>49</v>
      </c>
      <c r="N28" s="14">
        <v>0.19159999999999999</v>
      </c>
      <c r="O28" s="15">
        <v>105.6</v>
      </c>
      <c r="P28" s="20" t="s">
        <v>49</v>
      </c>
      <c r="Q28" s="14" t="s">
        <v>49</v>
      </c>
      <c r="R28" s="14">
        <v>0.90329999999999999</v>
      </c>
      <c r="S28" s="20">
        <v>1.1999999999999999E-3</v>
      </c>
      <c r="T28" s="15" t="s">
        <v>49</v>
      </c>
      <c r="U28" s="20" t="s">
        <v>49</v>
      </c>
      <c r="V28" s="15">
        <v>333.7</v>
      </c>
      <c r="W28" s="13" t="s">
        <v>49</v>
      </c>
      <c r="X28" s="14">
        <v>0.76800000000000002</v>
      </c>
      <c r="Y28" s="14">
        <v>0.1166</v>
      </c>
      <c r="Z28" s="14">
        <v>1.38E-2</v>
      </c>
      <c r="AA28" s="28">
        <v>1001.0999999999999</v>
      </c>
      <c r="AB28" s="1">
        <f t="shared" si="0"/>
        <v>1349.0609999999999</v>
      </c>
      <c r="AC28" s="1">
        <f t="shared" si="1"/>
        <v>74.207170765443522</v>
      </c>
      <c r="AD28" s="1">
        <f t="shared" si="2"/>
        <v>17.634487988311871</v>
      </c>
      <c r="AE28" s="1">
        <f t="shared" si="3"/>
        <v>6.6957683900134984E-2</v>
      </c>
      <c r="AF28" s="1">
        <f t="shared" si="4"/>
        <v>7.8276667993515483</v>
      </c>
      <c r="AG28" s="1">
        <f t="shared" si="5"/>
        <v>0.18234905612125768</v>
      </c>
    </row>
    <row r="29" spans="1:33" s="1" customFormat="1" x14ac:dyDescent="0.25">
      <c r="A29" s="12" t="s">
        <v>71</v>
      </c>
      <c r="B29" s="11" t="s">
        <v>110</v>
      </c>
      <c r="C29" s="23">
        <v>2.35</v>
      </c>
      <c r="D29" s="18" t="s">
        <v>49</v>
      </c>
      <c r="E29" s="20">
        <v>1.6999999999999999E-3</v>
      </c>
      <c r="F29" s="20">
        <v>1.6000000000000001E-3</v>
      </c>
      <c r="G29" s="13" t="s">
        <v>49</v>
      </c>
      <c r="H29" s="14">
        <v>6.12</v>
      </c>
      <c r="I29" s="13" t="s">
        <v>49</v>
      </c>
      <c r="J29" s="20" t="s">
        <v>49</v>
      </c>
      <c r="K29" s="20" t="s">
        <v>49</v>
      </c>
      <c r="L29" s="20" t="s">
        <v>49</v>
      </c>
      <c r="M29" s="14" t="s">
        <v>49</v>
      </c>
      <c r="N29" s="14">
        <v>0.1416</v>
      </c>
      <c r="O29" s="14">
        <v>2.1509999999999998</v>
      </c>
      <c r="P29" s="20" t="s">
        <v>49</v>
      </c>
      <c r="Q29" s="14" t="s">
        <v>49</v>
      </c>
      <c r="R29" s="14">
        <v>0.81950000000000001</v>
      </c>
      <c r="S29" s="20" t="s">
        <v>49</v>
      </c>
      <c r="T29" s="15" t="s">
        <v>49</v>
      </c>
      <c r="U29" s="20">
        <v>2E-3</v>
      </c>
      <c r="V29" s="14">
        <v>0.86570000000000003</v>
      </c>
      <c r="W29" s="13" t="s">
        <v>49</v>
      </c>
      <c r="X29" s="14">
        <v>0.86140000000000005</v>
      </c>
      <c r="Y29" s="14">
        <v>1.3899999999999999E-2</v>
      </c>
      <c r="Z29" s="14">
        <v>5.1999999999999998E-3</v>
      </c>
      <c r="AA29" s="26">
        <v>2.5971000000000002</v>
      </c>
      <c r="AB29" s="1">
        <f t="shared" si="0"/>
        <v>15.065000000000001</v>
      </c>
      <c r="AC29" s="1">
        <f t="shared" si="1"/>
        <v>17.239296382343181</v>
      </c>
      <c r="AD29" s="1">
        <f t="shared" si="2"/>
        <v>40.623962827746432</v>
      </c>
      <c r="AE29" s="1">
        <f t="shared" si="3"/>
        <v>5.4397610355127775</v>
      </c>
      <c r="AF29" s="1">
        <f t="shared" si="4"/>
        <v>14.278128111516757</v>
      </c>
      <c r="AG29" s="1">
        <f t="shared" si="5"/>
        <v>15.599070693660803</v>
      </c>
    </row>
    <row r="30" spans="1:33" s="1" customFormat="1" x14ac:dyDescent="0.25">
      <c r="A30" s="12" t="s">
        <v>72</v>
      </c>
      <c r="B30" s="11" t="s">
        <v>111</v>
      </c>
      <c r="C30" s="23">
        <v>2.52</v>
      </c>
      <c r="D30" s="18" t="s">
        <v>49</v>
      </c>
      <c r="E30" s="20">
        <v>4.1999999999999997E-3</v>
      </c>
      <c r="F30" s="20">
        <v>2.7000000000000001E-3</v>
      </c>
      <c r="G30" s="13" t="s">
        <v>49</v>
      </c>
      <c r="H30" s="15">
        <v>100.4</v>
      </c>
      <c r="I30" s="13" t="s">
        <v>49</v>
      </c>
      <c r="J30" s="20" t="s">
        <v>49</v>
      </c>
      <c r="K30" s="20" t="s">
        <v>49</v>
      </c>
      <c r="L30" s="20" t="s">
        <v>49</v>
      </c>
      <c r="M30" s="14" t="s">
        <v>49</v>
      </c>
      <c r="N30" s="14">
        <v>0.17480000000000001</v>
      </c>
      <c r="O30" s="16">
        <v>43.01</v>
      </c>
      <c r="P30" s="20" t="s">
        <v>49</v>
      </c>
      <c r="Q30" s="14" t="s">
        <v>49</v>
      </c>
      <c r="R30" s="14">
        <v>0.84709999999999996</v>
      </c>
      <c r="S30" s="20">
        <v>1.2999999999999999E-3</v>
      </c>
      <c r="T30" s="15" t="s">
        <v>49</v>
      </c>
      <c r="U30" s="20" t="s">
        <v>49</v>
      </c>
      <c r="V30" s="15">
        <v>134.30000000000001</v>
      </c>
      <c r="W30" s="13" t="s">
        <v>49</v>
      </c>
      <c r="X30" s="14">
        <v>0.83750000000000002</v>
      </c>
      <c r="Y30" s="14">
        <v>3.2099999999999997E-2</v>
      </c>
      <c r="Z30" s="14">
        <v>1.6199999999999999E-2</v>
      </c>
      <c r="AA30" s="28">
        <v>402.90000000000003</v>
      </c>
      <c r="AB30" s="1">
        <f t="shared" si="0"/>
        <v>550.74590000000012</v>
      </c>
      <c r="AC30" s="1">
        <f t="shared" si="1"/>
        <v>73.155333521320799</v>
      </c>
      <c r="AD30" s="1">
        <f t="shared" si="2"/>
        <v>18.229822500721291</v>
      </c>
      <c r="AE30" s="1">
        <f t="shared" si="3"/>
        <v>0.15380958805140443</v>
      </c>
      <c r="AF30" s="1">
        <f t="shared" si="4"/>
        <v>7.8094090214743295</v>
      </c>
      <c r="AG30" s="1">
        <f t="shared" si="5"/>
        <v>0.45756128189061407</v>
      </c>
    </row>
    <row r="31" spans="1:33" s="1" customFormat="1" x14ac:dyDescent="0.25">
      <c r="A31" s="12" t="s">
        <v>73</v>
      </c>
      <c r="B31" s="11" t="s">
        <v>112</v>
      </c>
      <c r="C31" s="25">
        <v>2.6</v>
      </c>
      <c r="D31" s="18" t="s">
        <v>49</v>
      </c>
      <c r="E31" s="20">
        <v>2.5000000000000001E-3</v>
      </c>
      <c r="F31" s="20">
        <v>1.9E-3</v>
      </c>
      <c r="G31" s="13" t="s">
        <v>49</v>
      </c>
      <c r="H31" s="15">
        <v>228.1</v>
      </c>
      <c r="I31" s="13" t="s">
        <v>49</v>
      </c>
      <c r="J31" s="20" t="s">
        <v>49</v>
      </c>
      <c r="K31" s="20" t="s">
        <v>49</v>
      </c>
      <c r="L31" s="20">
        <v>2.3999999999999998E-3</v>
      </c>
      <c r="M31" s="14" t="s">
        <v>49</v>
      </c>
      <c r="N31" s="14">
        <v>0.14960000000000001</v>
      </c>
      <c r="O31" s="15">
        <v>105</v>
      </c>
      <c r="P31" s="20">
        <v>1.1999999999999999E-3</v>
      </c>
      <c r="Q31" s="14" t="s">
        <v>49</v>
      </c>
      <c r="R31" s="14">
        <v>0.84719999999999995</v>
      </c>
      <c r="S31" s="20" t="s">
        <v>49</v>
      </c>
      <c r="T31" s="15" t="s">
        <v>49</v>
      </c>
      <c r="U31" s="20" t="s">
        <v>49</v>
      </c>
      <c r="V31" s="15">
        <v>327</v>
      </c>
      <c r="W31" s="13" t="s">
        <v>49</v>
      </c>
      <c r="X31" s="14">
        <v>0.80169999999999997</v>
      </c>
      <c r="Y31" s="14">
        <v>0.1118</v>
      </c>
      <c r="Z31" s="14">
        <v>2.0500000000000001E-2</v>
      </c>
      <c r="AA31" s="28">
        <v>981</v>
      </c>
      <c r="AB31" s="1">
        <f t="shared" si="0"/>
        <v>1318.6387999999999</v>
      </c>
      <c r="AC31" s="1">
        <f t="shared" si="1"/>
        <v>74.394898739518354</v>
      </c>
      <c r="AD31" s="1">
        <f t="shared" si="2"/>
        <v>17.298141083062323</v>
      </c>
      <c r="AE31" s="1">
        <f t="shared" si="3"/>
        <v>6.4248071571987725E-2</v>
      </c>
      <c r="AF31" s="1">
        <f t="shared" si="4"/>
        <v>7.9627567458200081</v>
      </c>
      <c r="AG31" s="1">
        <f t="shared" si="5"/>
        <v>0.19717302418220972</v>
      </c>
    </row>
    <row r="32" spans="1:33" s="1" customFormat="1" x14ac:dyDescent="0.25">
      <c r="A32" s="12" t="s">
        <v>74</v>
      </c>
      <c r="B32" s="11" t="s">
        <v>113</v>
      </c>
      <c r="C32" s="23">
        <v>2.65</v>
      </c>
      <c r="D32" s="18" t="s">
        <v>49</v>
      </c>
      <c r="E32" s="20">
        <v>2.5999999999999999E-3</v>
      </c>
      <c r="F32" s="20">
        <v>2.0999999999999999E-3</v>
      </c>
      <c r="G32" s="13" t="s">
        <v>49</v>
      </c>
      <c r="H32" s="14">
        <v>6.6390000000000002</v>
      </c>
      <c r="I32" s="13" t="s">
        <v>49</v>
      </c>
      <c r="J32" s="20" t="s">
        <v>49</v>
      </c>
      <c r="K32" s="20" t="s">
        <v>49</v>
      </c>
      <c r="L32" s="20" t="s">
        <v>49</v>
      </c>
      <c r="M32" s="14" t="s">
        <v>49</v>
      </c>
      <c r="N32" s="14">
        <v>0.14510000000000001</v>
      </c>
      <c r="O32" s="14">
        <v>2.254</v>
      </c>
      <c r="P32" s="20" t="s">
        <v>49</v>
      </c>
      <c r="Q32" s="14" t="s">
        <v>49</v>
      </c>
      <c r="R32" s="14">
        <v>0.80420000000000003</v>
      </c>
      <c r="S32" s="20">
        <v>1.8E-3</v>
      </c>
      <c r="T32" s="15" t="s">
        <v>49</v>
      </c>
      <c r="U32" s="20">
        <v>2.5999999999999999E-3</v>
      </c>
      <c r="V32" s="14">
        <v>1.4930000000000001</v>
      </c>
      <c r="W32" s="13" t="s">
        <v>49</v>
      </c>
      <c r="X32" s="14">
        <v>0.75370000000000004</v>
      </c>
      <c r="Y32" s="14">
        <v>9.5999999999999992E-3</v>
      </c>
      <c r="Z32" s="14">
        <v>5.0000000000000001E-3</v>
      </c>
      <c r="AA32" s="26">
        <v>4.4790000000000001</v>
      </c>
      <c r="AB32" s="1">
        <f t="shared" si="0"/>
        <v>17.748699999999999</v>
      </c>
      <c r="AC32" s="1">
        <f t="shared" si="1"/>
        <v>25.235651061767904</v>
      </c>
      <c r="AD32" s="1">
        <f t="shared" si="2"/>
        <v>37.405556463290274</v>
      </c>
      <c r="AE32" s="1">
        <f t="shared" si="3"/>
        <v>4.5310360758816142</v>
      </c>
      <c r="AF32" s="1">
        <f t="shared" si="4"/>
        <v>12.699521655107135</v>
      </c>
      <c r="AG32" s="1">
        <f t="shared" si="5"/>
        <v>14.930670978719569</v>
      </c>
    </row>
    <row r="33" spans="1:33" s="1" customFormat="1" x14ac:dyDescent="0.25">
      <c r="A33" s="12" t="s">
        <v>75</v>
      </c>
      <c r="B33" s="11" t="s">
        <v>114</v>
      </c>
      <c r="C33" s="23">
        <v>2.44</v>
      </c>
      <c r="D33" s="18" t="s">
        <v>49</v>
      </c>
      <c r="E33" s="20">
        <v>5.7000000000000002E-3</v>
      </c>
      <c r="F33" s="20">
        <v>3.3E-3</v>
      </c>
      <c r="G33" s="13" t="s">
        <v>49</v>
      </c>
      <c r="H33" s="15">
        <v>102.8</v>
      </c>
      <c r="I33" s="13" t="s">
        <v>49</v>
      </c>
      <c r="J33" s="20" t="s">
        <v>49</v>
      </c>
      <c r="K33" s="20" t="s">
        <v>49</v>
      </c>
      <c r="L33" s="20" t="s">
        <v>49</v>
      </c>
      <c r="M33" s="14" t="s">
        <v>49</v>
      </c>
      <c r="N33" s="14">
        <v>0.1502</v>
      </c>
      <c r="O33" s="16">
        <v>43.45</v>
      </c>
      <c r="P33" s="20" t="s">
        <v>49</v>
      </c>
      <c r="Q33" s="14" t="s">
        <v>49</v>
      </c>
      <c r="R33" s="14">
        <v>0.78800000000000003</v>
      </c>
      <c r="S33" s="20" t="s">
        <v>49</v>
      </c>
      <c r="T33" s="15" t="s">
        <v>49</v>
      </c>
      <c r="U33" s="20">
        <v>2.5000000000000001E-3</v>
      </c>
      <c r="V33" s="15">
        <v>136.5</v>
      </c>
      <c r="W33" s="13" t="s">
        <v>49</v>
      </c>
      <c r="X33" s="14">
        <v>0.76770000000000005</v>
      </c>
      <c r="Y33" s="14">
        <v>3.3300000000000003E-2</v>
      </c>
      <c r="Z33" s="14">
        <v>1.6400000000000001E-2</v>
      </c>
      <c r="AA33" s="28">
        <v>409.5</v>
      </c>
      <c r="AB33" s="1">
        <f t="shared" si="0"/>
        <v>559.95709999999997</v>
      </c>
      <c r="AC33" s="1">
        <f t="shared" si="1"/>
        <v>73.130602326499655</v>
      </c>
      <c r="AD33" s="1">
        <f t="shared" si="2"/>
        <v>18.358549253148144</v>
      </c>
      <c r="AE33" s="1">
        <f t="shared" si="3"/>
        <v>0.14072506625954023</v>
      </c>
      <c r="AF33" s="1">
        <f t="shared" si="4"/>
        <v>7.7595230063160203</v>
      </c>
      <c r="AG33" s="1">
        <f t="shared" si="5"/>
        <v>0.43574766709806878</v>
      </c>
    </row>
    <row r="34" spans="1:33" s="1" customFormat="1" x14ac:dyDescent="0.25">
      <c r="A34" s="12" t="s">
        <v>76</v>
      </c>
      <c r="B34" s="11" t="s">
        <v>115</v>
      </c>
      <c r="C34" s="23">
        <v>2.77</v>
      </c>
      <c r="D34" s="18" t="s">
        <v>49</v>
      </c>
      <c r="E34" s="21" t="s">
        <v>49</v>
      </c>
      <c r="F34" s="20">
        <v>7.4000000000000003E-3</v>
      </c>
      <c r="G34" s="13" t="s">
        <v>49</v>
      </c>
      <c r="H34" s="15">
        <v>203.6</v>
      </c>
      <c r="I34" s="13" t="s">
        <v>49</v>
      </c>
      <c r="J34" s="20" t="s">
        <v>49</v>
      </c>
      <c r="K34" s="20">
        <v>1.1999999999999999E-3</v>
      </c>
      <c r="L34" s="20" t="s">
        <v>49</v>
      </c>
      <c r="M34" s="14" t="s">
        <v>49</v>
      </c>
      <c r="N34" s="14">
        <v>0.42349999999999999</v>
      </c>
      <c r="O34" s="16">
        <v>86.57</v>
      </c>
      <c r="P34" s="20" t="s">
        <v>49</v>
      </c>
      <c r="Q34" s="14" t="s">
        <v>49</v>
      </c>
      <c r="R34" s="14">
        <v>1.2649999999999999</v>
      </c>
      <c r="S34" s="14" t="s">
        <v>49</v>
      </c>
      <c r="T34" s="15" t="s">
        <v>49</v>
      </c>
      <c r="U34" s="13" t="s">
        <v>49</v>
      </c>
      <c r="V34" s="15">
        <v>276.7</v>
      </c>
      <c r="W34" s="13" t="s">
        <v>49</v>
      </c>
      <c r="X34" s="14">
        <v>1.1839999999999999</v>
      </c>
      <c r="Y34" s="14">
        <v>6.2399999999999997E-2</v>
      </c>
      <c r="Z34" s="14">
        <v>5.4000000000000003E-3</v>
      </c>
      <c r="AA34" s="28">
        <v>830.09999999999991</v>
      </c>
      <c r="AB34" s="1">
        <f t="shared" si="0"/>
        <v>1125.9888999999998</v>
      </c>
      <c r="AC34" s="1">
        <f t="shared" si="1"/>
        <v>73.721863510377418</v>
      </c>
      <c r="AD34" s="1">
        <f t="shared" si="2"/>
        <v>18.081883400449154</v>
      </c>
      <c r="AE34" s="1">
        <f t="shared" si="3"/>
        <v>0.11234569008628773</v>
      </c>
      <c r="AF34" s="1">
        <f t="shared" si="4"/>
        <v>7.6883528780789936</v>
      </c>
      <c r="AG34" s="1">
        <f t="shared" si="5"/>
        <v>0.24600597750119921</v>
      </c>
    </row>
    <row r="35" spans="1:33" s="1" customFormat="1" x14ac:dyDescent="0.25">
      <c r="A35" s="12" t="s">
        <v>77</v>
      </c>
      <c r="B35" s="11" t="s">
        <v>116</v>
      </c>
      <c r="C35" s="23">
        <v>2.4300000000000002</v>
      </c>
      <c r="D35" s="18" t="s">
        <v>49</v>
      </c>
      <c r="E35" s="21" t="s">
        <v>49</v>
      </c>
      <c r="F35" s="20">
        <v>4.7999999999999996E-3</v>
      </c>
      <c r="G35" s="13" t="s">
        <v>49</v>
      </c>
      <c r="H35" s="15">
        <v>155.80000000000001</v>
      </c>
      <c r="I35" s="13" t="s">
        <v>49</v>
      </c>
      <c r="J35" s="20" t="s">
        <v>49</v>
      </c>
      <c r="K35" s="20" t="s">
        <v>49</v>
      </c>
      <c r="L35" s="20" t="s">
        <v>49</v>
      </c>
      <c r="M35" s="14" t="s">
        <v>49</v>
      </c>
      <c r="N35" s="14">
        <v>0.1663</v>
      </c>
      <c r="O35" s="16">
        <v>66.17</v>
      </c>
      <c r="P35" s="20" t="s">
        <v>49</v>
      </c>
      <c r="Q35" s="20">
        <v>1.1000000000000001E-3</v>
      </c>
      <c r="R35" s="14">
        <v>0.96099999999999997</v>
      </c>
      <c r="S35" s="14" t="s">
        <v>49</v>
      </c>
      <c r="T35" s="15" t="s">
        <v>49</v>
      </c>
      <c r="U35" s="13" t="s">
        <v>49</v>
      </c>
      <c r="V35" s="15">
        <v>209.3</v>
      </c>
      <c r="W35" s="13" t="s">
        <v>49</v>
      </c>
      <c r="X35" s="14">
        <v>1.026</v>
      </c>
      <c r="Y35" s="14">
        <v>4.48E-2</v>
      </c>
      <c r="Z35" s="14">
        <v>5.8999999999999999E-3</v>
      </c>
      <c r="AA35" s="28">
        <v>627.90000000000009</v>
      </c>
      <c r="AB35" s="1">
        <f t="shared" si="0"/>
        <v>854.50990000000013</v>
      </c>
      <c r="AC35" s="1">
        <f t="shared" si="1"/>
        <v>73.480716841314532</v>
      </c>
      <c r="AD35" s="1">
        <f t="shared" si="2"/>
        <v>18.232673489212939</v>
      </c>
      <c r="AE35" s="1">
        <f t="shared" si="3"/>
        <v>0.11246212595079352</v>
      </c>
      <c r="AF35" s="1">
        <f t="shared" si="4"/>
        <v>7.7436200563621309</v>
      </c>
      <c r="AG35" s="1">
        <f t="shared" si="5"/>
        <v>0.2843735338818193</v>
      </c>
    </row>
    <row r="36" spans="1:33" s="1" customFormat="1" x14ac:dyDescent="0.25">
      <c r="A36" s="12" t="s">
        <v>78</v>
      </c>
      <c r="B36" s="11" t="s">
        <v>117</v>
      </c>
      <c r="C36" s="25">
        <v>2.2000000000000002</v>
      </c>
      <c r="D36" s="18" t="s">
        <v>49</v>
      </c>
      <c r="E36" s="21" t="s">
        <v>49</v>
      </c>
      <c r="F36" s="20">
        <v>3.2000000000000002E-3</v>
      </c>
      <c r="G36" s="13" t="s">
        <v>49</v>
      </c>
      <c r="H36" s="16">
        <v>57.06</v>
      </c>
      <c r="I36" s="13" t="s">
        <v>49</v>
      </c>
      <c r="J36" s="20">
        <v>1.1000000000000001E-3</v>
      </c>
      <c r="K36" s="20" t="s">
        <v>49</v>
      </c>
      <c r="L36" s="20" t="s">
        <v>49</v>
      </c>
      <c r="M36" s="14" t="s">
        <v>49</v>
      </c>
      <c r="N36" s="14">
        <v>0.13880000000000001</v>
      </c>
      <c r="O36" s="16">
        <v>23.93</v>
      </c>
      <c r="P36" s="20" t="s">
        <v>49</v>
      </c>
      <c r="Q36" s="20" t="s">
        <v>49</v>
      </c>
      <c r="R36" s="14">
        <v>0.84109999999999996</v>
      </c>
      <c r="S36" s="14" t="s">
        <v>49</v>
      </c>
      <c r="T36" s="15" t="s">
        <v>49</v>
      </c>
      <c r="U36" s="13" t="s">
        <v>49</v>
      </c>
      <c r="V36" s="16">
        <v>71.66</v>
      </c>
      <c r="W36" s="13" t="s">
        <v>49</v>
      </c>
      <c r="X36" s="14">
        <v>1.08</v>
      </c>
      <c r="Y36" s="14">
        <v>2.41E-2</v>
      </c>
      <c r="Z36" s="14">
        <v>5.3E-3</v>
      </c>
      <c r="AA36" s="28">
        <v>214.98</v>
      </c>
      <c r="AB36" s="1">
        <f t="shared" si="0"/>
        <v>300.2636</v>
      </c>
      <c r="AC36" s="1">
        <f t="shared" si="1"/>
        <v>71.597090023565954</v>
      </c>
      <c r="AD36" s="1">
        <f t="shared" si="2"/>
        <v>19.003302431596772</v>
      </c>
      <c r="AE36" s="1">
        <f t="shared" si="3"/>
        <v>0.2801205340907123</v>
      </c>
      <c r="AF36" s="1">
        <f t="shared" si="4"/>
        <v>7.9696639885753724</v>
      </c>
      <c r="AG36" s="1">
        <f t="shared" si="5"/>
        <v>0.73268954345448467</v>
      </c>
    </row>
    <row r="37" spans="1:33" s="1" customFormat="1" x14ac:dyDescent="0.25">
      <c r="A37" s="12" t="s">
        <v>79</v>
      </c>
      <c r="B37" s="11" t="s">
        <v>118</v>
      </c>
      <c r="C37" s="23">
        <v>2.42</v>
      </c>
      <c r="D37" s="18" t="s">
        <v>49</v>
      </c>
      <c r="E37" s="21" t="s">
        <v>49</v>
      </c>
      <c r="F37" s="20">
        <v>4.1000000000000003E-3</v>
      </c>
      <c r="G37" s="13" t="s">
        <v>49</v>
      </c>
      <c r="H37" s="15">
        <v>106</v>
      </c>
      <c r="I37" s="13" t="s">
        <v>49</v>
      </c>
      <c r="J37" s="20" t="s">
        <v>49</v>
      </c>
      <c r="K37" s="20" t="s">
        <v>49</v>
      </c>
      <c r="L37" s="20" t="s">
        <v>49</v>
      </c>
      <c r="M37" s="14" t="s">
        <v>49</v>
      </c>
      <c r="N37" s="14">
        <v>0.13930000000000001</v>
      </c>
      <c r="O37" s="16">
        <v>45.6</v>
      </c>
      <c r="P37" s="20">
        <v>1E-3</v>
      </c>
      <c r="Q37" s="20" t="s">
        <v>49</v>
      </c>
      <c r="R37" s="14">
        <v>0.92269999999999996</v>
      </c>
      <c r="S37" s="14" t="s">
        <v>49</v>
      </c>
      <c r="T37" s="15" t="s">
        <v>49</v>
      </c>
      <c r="U37" s="13" t="s">
        <v>49</v>
      </c>
      <c r="V37" s="15">
        <v>141</v>
      </c>
      <c r="W37" s="13" t="s">
        <v>49</v>
      </c>
      <c r="X37" s="14">
        <v>1.06</v>
      </c>
      <c r="Y37" s="14">
        <v>3.4599999999999999E-2</v>
      </c>
      <c r="Z37" s="14">
        <v>2.2800000000000001E-2</v>
      </c>
      <c r="AA37" s="28">
        <v>423</v>
      </c>
      <c r="AB37" s="1">
        <f t="shared" si="0"/>
        <v>579.20450000000005</v>
      </c>
      <c r="AC37" s="1">
        <f t="shared" si="1"/>
        <v>73.031200551791287</v>
      </c>
      <c r="AD37" s="1">
        <f t="shared" si="2"/>
        <v>18.300962786028077</v>
      </c>
      <c r="AE37" s="1">
        <f t="shared" si="3"/>
        <v>0.15930470153460477</v>
      </c>
      <c r="AF37" s="1">
        <f t="shared" si="4"/>
        <v>7.8728670098384939</v>
      </c>
      <c r="AG37" s="1">
        <f t="shared" si="5"/>
        <v>0.41781443341686736</v>
      </c>
    </row>
    <row r="38" spans="1:33" s="1" customFormat="1" x14ac:dyDescent="0.25">
      <c r="A38" s="12" t="s">
        <v>80</v>
      </c>
      <c r="B38" s="11" t="s">
        <v>119</v>
      </c>
      <c r="C38" s="23">
        <v>2.46</v>
      </c>
      <c r="D38" s="18" t="s">
        <v>49</v>
      </c>
      <c r="E38" s="20">
        <v>4.8999999999999998E-3</v>
      </c>
      <c r="F38" s="20">
        <v>2.3E-3</v>
      </c>
      <c r="G38" s="13" t="s">
        <v>49</v>
      </c>
      <c r="H38" s="15">
        <v>263.3</v>
      </c>
      <c r="I38" s="13" t="s">
        <v>49</v>
      </c>
      <c r="J38" s="20" t="s">
        <v>49</v>
      </c>
      <c r="K38" s="20">
        <v>1.2999999999999999E-3</v>
      </c>
      <c r="L38" s="20" t="s">
        <v>49</v>
      </c>
      <c r="M38" s="14" t="s">
        <v>49</v>
      </c>
      <c r="N38" s="14">
        <v>0.13650000000000001</v>
      </c>
      <c r="O38" s="15">
        <v>111.2</v>
      </c>
      <c r="P38" s="20" t="s">
        <v>49</v>
      </c>
      <c r="Q38" s="20" t="s">
        <v>49</v>
      </c>
      <c r="R38" s="14">
        <v>0.93700000000000006</v>
      </c>
      <c r="S38" s="14" t="s">
        <v>49</v>
      </c>
      <c r="T38" s="15" t="s">
        <v>49</v>
      </c>
      <c r="U38" s="13" t="s">
        <v>49</v>
      </c>
      <c r="V38" s="15">
        <v>360.5</v>
      </c>
      <c r="W38" s="13" t="s">
        <v>49</v>
      </c>
      <c r="X38" s="14">
        <v>0.81310000000000004</v>
      </c>
      <c r="Y38" s="14">
        <v>0.1303</v>
      </c>
      <c r="Z38" s="14">
        <v>4.2299999999999997E-2</v>
      </c>
      <c r="AA38" s="28">
        <v>1081.5</v>
      </c>
      <c r="AB38" s="1">
        <f t="shared" si="0"/>
        <v>1460.5277000000001</v>
      </c>
      <c r="AC38" s="1">
        <f t="shared" si="1"/>
        <v>74.048578469275171</v>
      </c>
      <c r="AD38" s="1">
        <f t="shared" si="2"/>
        <v>18.027730662006615</v>
      </c>
      <c r="AE38" s="1">
        <f t="shared" si="3"/>
        <v>6.4154894152298511E-2</v>
      </c>
      <c r="AF38" s="1">
        <f t="shared" si="4"/>
        <v>7.6136864778394822</v>
      </c>
      <c r="AG38" s="1">
        <f t="shared" si="5"/>
        <v>0.16843227280112522</v>
      </c>
    </row>
    <row r="39" spans="1:33" s="1" customFormat="1" x14ac:dyDescent="0.25">
      <c r="A39" s="12" t="s">
        <v>81</v>
      </c>
      <c r="B39" s="11" t="s">
        <v>120</v>
      </c>
      <c r="C39" s="25">
        <v>2.6</v>
      </c>
      <c r="D39" s="18" t="s">
        <v>49</v>
      </c>
      <c r="E39" s="21" t="s">
        <v>49</v>
      </c>
      <c r="F39" s="20">
        <v>5.1000000000000004E-3</v>
      </c>
      <c r="G39" s="13" t="s">
        <v>49</v>
      </c>
      <c r="H39" s="15">
        <v>207.1</v>
      </c>
      <c r="I39" s="13" t="s">
        <v>49</v>
      </c>
      <c r="J39" s="20" t="s">
        <v>49</v>
      </c>
      <c r="K39" s="20">
        <v>1.4E-3</v>
      </c>
      <c r="L39" s="20" t="s">
        <v>49</v>
      </c>
      <c r="M39" s="14" t="s">
        <v>49</v>
      </c>
      <c r="N39" s="14">
        <v>0.16109999999999999</v>
      </c>
      <c r="O39" s="16">
        <v>89.4</v>
      </c>
      <c r="P39" s="20">
        <v>1.9E-3</v>
      </c>
      <c r="Q39" s="20" t="s">
        <v>49</v>
      </c>
      <c r="R39" s="14">
        <v>0.98450000000000004</v>
      </c>
      <c r="S39" s="14" t="s">
        <v>49</v>
      </c>
      <c r="T39" s="15" t="s">
        <v>49</v>
      </c>
      <c r="U39" s="13" t="s">
        <v>49</v>
      </c>
      <c r="V39" s="15">
        <v>285.39999999999998</v>
      </c>
      <c r="W39" s="13" t="s">
        <v>49</v>
      </c>
      <c r="X39" s="14">
        <v>0.88429999999999997</v>
      </c>
      <c r="Y39" s="14">
        <v>5.67E-2</v>
      </c>
      <c r="Z39" s="14">
        <v>3.5000000000000003E-2</v>
      </c>
      <c r="AA39" s="28">
        <v>856.19999999999993</v>
      </c>
      <c r="AB39" s="1">
        <f t="shared" si="0"/>
        <v>1157.4299999999998</v>
      </c>
      <c r="AC39" s="1">
        <f t="shared" si="1"/>
        <v>73.974236022912848</v>
      </c>
      <c r="AD39" s="1">
        <f t="shared" si="2"/>
        <v>17.893090726869012</v>
      </c>
      <c r="AE39" s="1">
        <f t="shared" si="3"/>
        <v>8.505913964559414E-2</v>
      </c>
      <c r="AF39" s="1">
        <f t="shared" si="4"/>
        <v>7.7240092273398844</v>
      </c>
      <c r="AG39" s="1">
        <f t="shared" si="5"/>
        <v>0.22463561511279301</v>
      </c>
    </row>
    <row r="40" spans="1:33" s="1" customFormat="1" x14ac:dyDescent="0.25">
      <c r="A40" s="12" t="s">
        <v>82</v>
      </c>
      <c r="B40" s="11" t="s">
        <v>121</v>
      </c>
      <c r="C40" s="23">
        <v>2.4500000000000002</v>
      </c>
      <c r="D40" s="18" t="s">
        <v>49</v>
      </c>
      <c r="E40" s="20">
        <v>3.8E-3</v>
      </c>
      <c r="F40" s="20">
        <v>4.1999999999999997E-3</v>
      </c>
      <c r="G40" s="13" t="s">
        <v>49</v>
      </c>
      <c r="H40" s="15">
        <v>158.19999999999999</v>
      </c>
      <c r="I40" s="13" t="s">
        <v>49</v>
      </c>
      <c r="J40" s="20">
        <v>1.1000000000000001E-3</v>
      </c>
      <c r="K40" s="20" t="s">
        <v>49</v>
      </c>
      <c r="L40" s="20" t="s">
        <v>49</v>
      </c>
      <c r="M40" s="14" t="s">
        <v>49</v>
      </c>
      <c r="N40" s="14">
        <v>0.16300000000000001</v>
      </c>
      <c r="O40" s="16">
        <v>68.430000000000007</v>
      </c>
      <c r="P40" s="20" t="s">
        <v>49</v>
      </c>
      <c r="Q40" s="20" t="s">
        <v>49</v>
      </c>
      <c r="R40" s="14">
        <v>0.98519999999999996</v>
      </c>
      <c r="S40" s="14" t="s">
        <v>49</v>
      </c>
      <c r="T40" s="15" t="s">
        <v>49</v>
      </c>
      <c r="U40" s="13" t="s">
        <v>49</v>
      </c>
      <c r="V40" s="15">
        <v>216.2</v>
      </c>
      <c r="W40" s="13" t="s">
        <v>49</v>
      </c>
      <c r="X40" s="14">
        <v>1.0960000000000001</v>
      </c>
      <c r="Y40" s="14">
        <v>4.5499999999999999E-2</v>
      </c>
      <c r="Z40" s="14">
        <v>5.33E-2</v>
      </c>
      <c r="AA40" s="28">
        <v>648.59999999999991</v>
      </c>
      <c r="AB40" s="1">
        <f t="shared" si="0"/>
        <v>880.0320999999999</v>
      </c>
      <c r="AC40" s="1">
        <f t="shared" si="1"/>
        <v>73.701857011806723</v>
      </c>
      <c r="AD40" s="1">
        <f t="shared" si="2"/>
        <v>17.976616989312095</v>
      </c>
      <c r="AE40" s="1">
        <f t="shared" si="3"/>
        <v>0.11195046180701818</v>
      </c>
      <c r="AF40" s="1">
        <f t="shared" si="4"/>
        <v>7.775852721735947</v>
      </c>
      <c r="AG40" s="1">
        <f t="shared" si="5"/>
        <v>0.27839893567518736</v>
      </c>
    </row>
    <row r="41" spans="1:33" s="1" customFormat="1" x14ac:dyDescent="0.25">
      <c r="A41" s="12" t="s">
        <v>83</v>
      </c>
      <c r="B41" s="11" t="s">
        <v>122</v>
      </c>
      <c r="C41" s="23">
        <v>2.58</v>
      </c>
      <c r="D41" s="18" t="s">
        <v>49</v>
      </c>
      <c r="E41" s="21" t="s">
        <v>49</v>
      </c>
      <c r="F41" s="20">
        <v>3.5000000000000001E-3</v>
      </c>
      <c r="G41" s="13" t="s">
        <v>49</v>
      </c>
      <c r="H41" s="16">
        <v>57.77</v>
      </c>
      <c r="I41" s="13" t="s">
        <v>49</v>
      </c>
      <c r="J41" s="20" t="s">
        <v>49</v>
      </c>
      <c r="K41" s="20" t="s">
        <v>49</v>
      </c>
      <c r="L41" s="20" t="s">
        <v>49</v>
      </c>
      <c r="M41" s="14" t="s">
        <v>49</v>
      </c>
      <c r="N41" s="14">
        <v>0.11219999999999999</v>
      </c>
      <c r="O41" s="16">
        <v>24.49</v>
      </c>
      <c r="P41" s="20" t="s">
        <v>49</v>
      </c>
      <c r="Q41" s="20" t="s">
        <v>49</v>
      </c>
      <c r="R41" s="14">
        <v>0.91749999999999998</v>
      </c>
      <c r="S41" s="14" t="s">
        <v>49</v>
      </c>
      <c r="T41" s="15" t="s">
        <v>49</v>
      </c>
      <c r="U41" s="13" t="s">
        <v>49</v>
      </c>
      <c r="V41" s="16">
        <v>72.86</v>
      </c>
      <c r="W41" s="13" t="s">
        <v>49</v>
      </c>
      <c r="X41" s="14">
        <v>0.87180000000000002</v>
      </c>
      <c r="Y41" s="14">
        <v>2.3699999999999999E-2</v>
      </c>
      <c r="Z41" s="14">
        <v>4.2599999999999999E-2</v>
      </c>
      <c r="AA41" s="28">
        <v>218.57999999999998</v>
      </c>
      <c r="AB41" s="1">
        <f t="shared" si="0"/>
        <v>305.3913</v>
      </c>
      <c r="AC41" s="1">
        <f t="shared" si="1"/>
        <v>71.573748171608031</v>
      </c>
      <c r="AD41" s="1">
        <f t="shared" si="2"/>
        <v>18.916714392322245</v>
      </c>
      <c r="AE41" s="1">
        <f t="shared" si="3"/>
        <v>0.30043422978978118</v>
      </c>
      <c r="AF41" s="1">
        <f t="shared" si="4"/>
        <v>8.019219931936501</v>
      </c>
      <c r="AG41" s="1">
        <f t="shared" si="5"/>
        <v>0.84481777968134653</v>
      </c>
    </row>
    <row r="42" spans="1:33" s="1" customFormat="1" x14ac:dyDescent="0.25">
      <c r="A42" s="12" t="s">
        <v>84</v>
      </c>
      <c r="B42" s="11" t="s">
        <v>123</v>
      </c>
      <c r="C42" s="25">
        <v>2.5</v>
      </c>
      <c r="D42" s="18" t="s">
        <v>49</v>
      </c>
      <c r="E42" s="21" t="s">
        <v>49</v>
      </c>
      <c r="F42" s="20">
        <v>3.5999999999999999E-3</v>
      </c>
      <c r="G42" s="13" t="s">
        <v>49</v>
      </c>
      <c r="H42" s="14">
        <v>6.4870000000000001</v>
      </c>
      <c r="I42" s="13" t="s">
        <v>49</v>
      </c>
      <c r="J42" s="20" t="s">
        <v>49</v>
      </c>
      <c r="K42" s="20" t="s">
        <v>49</v>
      </c>
      <c r="L42" s="20" t="s">
        <v>49</v>
      </c>
      <c r="M42" s="14" t="s">
        <v>49</v>
      </c>
      <c r="N42" s="14">
        <v>0.14330000000000001</v>
      </c>
      <c r="O42" s="14">
        <v>2.5259999999999998</v>
      </c>
      <c r="P42" s="20" t="s">
        <v>49</v>
      </c>
      <c r="Q42" s="20" t="s">
        <v>49</v>
      </c>
      <c r="R42" s="14">
        <v>0.93479999999999996</v>
      </c>
      <c r="S42" s="14" t="s">
        <v>49</v>
      </c>
      <c r="T42" s="15" t="s">
        <v>49</v>
      </c>
      <c r="U42" s="13" t="s">
        <v>49</v>
      </c>
      <c r="V42" s="14">
        <v>1.0029999999999999</v>
      </c>
      <c r="W42" s="13" t="s">
        <v>49</v>
      </c>
      <c r="X42" s="14">
        <v>1.0589999999999999</v>
      </c>
      <c r="Y42" s="14">
        <v>1.4999999999999999E-2</v>
      </c>
      <c r="Z42" s="14">
        <v>2.2100000000000002E-2</v>
      </c>
      <c r="AA42" s="26">
        <v>3.0089999999999995</v>
      </c>
      <c r="AB42" s="1">
        <f t="shared" si="0"/>
        <v>16.6998</v>
      </c>
      <c r="AC42" s="1">
        <f t="shared" si="1"/>
        <v>18.018179858441417</v>
      </c>
      <c r="AD42" s="1">
        <f t="shared" si="2"/>
        <v>38.844776584150708</v>
      </c>
      <c r="AE42" s="1">
        <f t="shared" si="3"/>
        <v>5.5976718284051303</v>
      </c>
      <c r="AF42" s="1">
        <f t="shared" si="4"/>
        <v>15.125929651852116</v>
      </c>
      <c r="AG42" s="1">
        <f t="shared" si="5"/>
        <v>14.970239164540894</v>
      </c>
    </row>
    <row r="43" spans="1:33" s="1" customFormat="1" x14ac:dyDescent="0.25">
      <c r="A43" s="12" t="s">
        <v>85</v>
      </c>
      <c r="B43" s="11" t="s">
        <v>124</v>
      </c>
      <c r="C43" s="23">
        <v>2.4900000000000002</v>
      </c>
      <c r="D43" s="18" t="s">
        <v>49</v>
      </c>
      <c r="E43" s="20">
        <v>2.3999999999999998E-3</v>
      </c>
      <c r="F43" s="20">
        <v>5.1999999999999998E-3</v>
      </c>
      <c r="G43" s="13" t="s">
        <v>49</v>
      </c>
      <c r="H43" s="15">
        <v>203.2</v>
      </c>
      <c r="I43" s="13" t="s">
        <v>49</v>
      </c>
      <c r="J43" s="20">
        <v>1E-3</v>
      </c>
      <c r="K43" s="20">
        <v>1.6000000000000001E-3</v>
      </c>
      <c r="L43" s="20" t="s">
        <v>49</v>
      </c>
      <c r="M43" s="14" t="s">
        <v>49</v>
      </c>
      <c r="N43" s="14">
        <v>0.13320000000000001</v>
      </c>
      <c r="O43" s="16">
        <v>88.82</v>
      </c>
      <c r="P43" s="20">
        <v>1.9E-3</v>
      </c>
      <c r="Q43" s="20" t="s">
        <v>49</v>
      </c>
      <c r="R43" s="14">
        <v>0.93420000000000003</v>
      </c>
      <c r="S43" s="14" t="s">
        <v>49</v>
      </c>
      <c r="T43" s="15" t="s">
        <v>49</v>
      </c>
      <c r="U43" s="13" t="s">
        <v>49</v>
      </c>
      <c r="V43" s="15">
        <v>281.60000000000002</v>
      </c>
      <c r="W43" s="13" t="s">
        <v>49</v>
      </c>
      <c r="X43" s="14">
        <v>0.97460000000000002</v>
      </c>
      <c r="Y43" s="14">
        <v>5.3699999999999998E-2</v>
      </c>
      <c r="Z43" s="14">
        <v>1.83E-2</v>
      </c>
      <c r="AA43" s="28">
        <v>844.80000000000007</v>
      </c>
      <c r="AB43" s="1">
        <f t="shared" si="0"/>
        <v>1141.4360999999999</v>
      </c>
      <c r="AC43" s="1">
        <f t="shared" si="1"/>
        <v>74.01202748011913</v>
      </c>
      <c r="AD43" s="1">
        <f t="shared" si="2"/>
        <v>17.802135397680168</v>
      </c>
      <c r="AE43" s="1">
        <f t="shared" si="3"/>
        <v>8.1844266183626058E-2</v>
      </c>
      <c r="AF43" s="1">
        <f t="shared" si="4"/>
        <v>7.7814255217615775</v>
      </c>
      <c r="AG43" s="1">
        <f t="shared" si="5"/>
        <v>0.21814624576881708</v>
      </c>
    </row>
    <row r="44" spans="1:33" x14ac:dyDescent="0.25">
      <c r="A44" s="12" t="s">
        <v>86</v>
      </c>
      <c r="B44" s="11" t="s">
        <v>125</v>
      </c>
      <c r="C44" s="24">
        <v>2.5499999999999998</v>
      </c>
      <c r="D44" s="18" t="s">
        <v>49</v>
      </c>
      <c r="E44" s="21" t="s">
        <v>49</v>
      </c>
      <c r="F44" s="19">
        <v>5.4000000000000003E-3</v>
      </c>
      <c r="G44" s="2" t="s">
        <v>49</v>
      </c>
      <c r="H44" s="22">
        <v>155.5</v>
      </c>
      <c r="I44" s="2" t="s">
        <v>49</v>
      </c>
      <c r="J44" s="19" t="s">
        <v>49</v>
      </c>
      <c r="K44" s="3" t="s">
        <v>49</v>
      </c>
      <c r="L44" s="19" t="s">
        <v>49</v>
      </c>
      <c r="M44" s="4" t="s">
        <v>49</v>
      </c>
      <c r="N44" s="4">
        <v>0.14069999999999999</v>
      </c>
      <c r="O44" s="3">
        <v>66.34</v>
      </c>
      <c r="P44" s="19" t="s">
        <v>49</v>
      </c>
      <c r="Q44" s="19" t="s">
        <v>49</v>
      </c>
      <c r="R44" s="4">
        <v>0.95250000000000001</v>
      </c>
      <c r="S44" s="4" t="s">
        <v>49</v>
      </c>
      <c r="T44" s="2" t="s">
        <v>49</v>
      </c>
      <c r="U44" s="2" t="s">
        <v>49</v>
      </c>
      <c r="V44" s="22">
        <v>210.1</v>
      </c>
      <c r="W44" s="2" t="s">
        <v>49</v>
      </c>
      <c r="X44" s="4">
        <v>0.86780000000000002</v>
      </c>
      <c r="Y44" s="4">
        <v>4.5600000000000002E-2</v>
      </c>
      <c r="Z44" s="4">
        <v>1.7500000000000002E-2</v>
      </c>
      <c r="AA44" s="28">
        <v>630.29999999999995</v>
      </c>
      <c r="AB44" s="1">
        <f t="shared" si="0"/>
        <v>856.71949999999993</v>
      </c>
      <c r="AC44" s="1">
        <f t="shared" si="1"/>
        <v>73.571338110081541</v>
      </c>
      <c r="AD44" s="1">
        <f t="shared" si="2"/>
        <v>18.150631566107695</v>
      </c>
      <c r="AE44" s="1">
        <f t="shared" si="3"/>
        <v>0.11117991361233169</v>
      </c>
      <c r="AF44" s="1">
        <f t="shared" si="4"/>
        <v>7.7434913060809301</v>
      </c>
      <c r="AG44" s="1">
        <f t="shared" si="5"/>
        <v>0.29764701282041556</v>
      </c>
    </row>
    <row r="45" spans="1:33" x14ac:dyDescent="0.25">
      <c r="A45" s="12" t="s">
        <v>87</v>
      </c>
      <c r="B45" s="11" t="s">
        <v>126</v>
      </c>
      <c r="C45" s="24">
        <v>2.36</v>
      </c>
      <c r="D45" s="18" t="s">
        <v>49</v>
      </c>
      <c r="E45" s="21" t="s">
        <v>49</v>
      </c>
      <c r="F45" s="19">
        <v>3.5000000000000001E-3</v>
      </c>
      <c r="G45" s="2" t="s">
        <v>49</v>
      </c>
      <c r="H45" s="3">
        <v>57.26</v>
      </c>
      <c r="I45" s="2" t="s">
        <v>49</v>
      </c>
      <c r="J45" s="19" t="s">
        <v>49</v>
      </c>
      <c r="K45" s="3" t="s">
        <v>49</v>
      </c>
      <c r="L45" s="19" t="s">
        <v>49</v>
      </c>
      <c r="M45" s="4" t="s">
        <v>49</v>
      </c>
      <c r="N45" s="4">
        <v>0.1636</v>
      </c>
      <c r="O45" s="3">
        <v>23.81</v>
      </c>
      <c r="P45" s="19" t="s">
        <v>49</v>
      </c>
      <c r="Q45" s="19" t="s">
        <v>49</v>
      </c>
      <c r="R45" s="4">
        <v>0.91800000000000004</v>
      </c>
      <c r="S45" s="4" t="s">
        <v>49</v>
      </c>
      <c r="T45" s="2" t="s">
        <v>49</v>
      </c>
      <c r="U45" s="2" t="s">
        <v>49</v>
      </c>
      <c r="V45" s="3">
        <v>71.489999999999995</v>
      </c>
      <c r="W45" s="2" t="s">
        <v>49</v>
      </c>
      <c r="X45" s="4">
        <v>1.1240000000000001</v>
      </c>
      <c r="Y45" s="4">
        <v>2.3400000000000001E-2</v>
      </c>
      <c r="Z45" s="4" t="s">
        <v>49</v>
      </c>
      <c r="AA45" s="28">
        <v>214.46999999999997</v>
      </c>
      <c r="AB45" s="1">
        <f t="shared" si="0"/>
        <v>300.13249999999994</v>
      </c>
      <c r="AC45" s="1">
        <f t="shared" si="1"/>
        <v>71.458439189358032</v>
      </c>
      <c r="AD45" s="1">
        <f t="shared" si="2"/>
        <v>19.078240443803988</v>
      </c>
      <c r="AE45" s="1">
        <f t="shared" si="3"/>
        <v>0.3058649096648981</v>
      </c>
      <c r="AF45" s="1">
        <f t="shared" si="4"/>
        <v>7.9331628530732274</v>
      </c>
      <c r="AG45" s="1">
        <f t="shared" si="5"/>
        <v>0.78631937560910603</v>
      </c>
    </row>
    <row r="46" spans="1:33" x14ac:dyDescent="0.25">
      <c r="A46" s="12" t="s">
        <v>88</v>
      </c>
      <c r="B46" s="11" t="s">
        <v>127</v>
      </c>
      <c r="C46" s="24">
        <v>2.5299999999999998</v>
      </c>
      <c r="D46" s="18" t="s">
        <v>49</v>
      </c>
      <c r="E46" s="21" t="s">
        <v>49</v>
      </c>
      <c r="F46" s="19">
        <v>2.8E-3</v>
      </c>
      <c r="G46" s="2" t="s">
        <v>49</v>
      </c>
      <c r="H46" s="4">
        <v>6.5670000000000002</v>
      </c>
      <c r="I46" s="2" t="s">
        <v>49</v>
      </c>
      <c r="J46" s="19" t="s">
        <v>49</v>
      </c>
      <c r="K46" s="3" t="s">
        <v>49</v>
      </c>
      <c r="L46" s="19" t="s">
        <v>49</v>
      </c>
      <c r="M46" s="4" t="s">
        <v>49</v>
      </c>
      <c r="N46" s="4">
        <v>0.13450000000000001</v>
      </c>
      <c r="O46" s="4">
        <v>2.266</v>
      </c>
      <c r="P46" s="19" t="s">
        <v>49</v>
      </c>
      <c r="Q46" s="19">
        <v>1.1000000000000001E-3</v>
      </c>
      <c r="R46" s="4">
        <v>0.9385</v>
      </c>
      <c r="S46" s="4" t="s">
        <v>49</v>
      </c>
      <c r="T46" s="4">
        <v>3.09E-2</v>
      </c>
      <c r="U46" s="2" t="s">
        <v>49</v>
      </c>
      <c r="V46" s="4">
        <v>0.9798</v>
      </c>
      <c r="W46" s="2" t="s">
        <v>49</v>
      </c>
      <c r="X46" s="4">
        <v>1.0249999999999999</v>
      </c>
      <c r="Y46" s="4">
        <v>1.4800000000000001E-2</v>
      </c>
      <c r="Z46" s="4" t="s">
        <v>49</v>
      </c>
      <c r="AA46" s="26">
        <v>2.9394</v>
      </c>
      <c r="AB46" s="1">
        <f t="shared" si="0"/>
        <v>16.45</v>
      </c>
      <c r="AC46" s="1">
        <f t="shared" si="1"/>
        <v>17.868693009118541</v>
      </c>
      <c r="AD46" s="1">
        <f t="shared" si="2"/>
        <v>39.920972644376903</v>
      </c>
      <c r="AE46" s="1">
        <f t="shared" si="3"/>
        <v>5.7051671732522795</v>
      </c>
      <c r="AF46" s="1">
        <f t="shared" si="4"/>
        <v>13.775075987841944</v>
      </c>
      <c r="AG46" s="1">
        <f t="shared" si="5"/>
        <v>15.379939209726443</v>
      </c>
    </row>
    <row r="47" spans="1:33" x14ac:dyDescent="0.25">
      <c r="A47" s="12" t="s">
        <v>89</v>
      </c>
      <c r="B47" s="11" t="s">
        <v>128</v>
      </c>
      <c r="C47" s="24">
        <v>2.41</v>
      </c>
      <c r="D47" s="18" t="s">
        <v>49</v>
      </c>
      <c r="E47" s="21" t="s">
        <v>49</v>
      </c>
      <c r="F47" s="19">
        <v>4.7000000000000002E-3</v>
      </c>
      <c r="G47" s="2" t="s">
        <v>49</v>
      </c>
      <c r="H47" s="22">
        <v>105.5</v>
      </c>
      <c r="I47" s="2" t="s">
        <v>49</v>
      </c>
      <c r="J47" s="19" t="s">
        <v>49</v>
      </c>
      <c r="K47" s="3" t="s">
        <v>49</v>
      </c>
      <c r="L47" s="19">
        <v>1.6000000000000001E-3</v>
      </c>
      <c r="M47" s="4" t="s">
        <v>49</v>
      </c>
      <c r="N47" s="4">
        <v>0.1487</v>
      </c>
      <c r="O47" s="3">
        <v>44.56</v>
      </c>
      <c r="P47" s="19" t="s">
        <v>49</v>
      </c>
      <c r="Q47" s="19" t="s">
        <v>49</v>
      </c>
      <c r="R47" s="4">
        <v>1.014</v>
      </c>
      <c r="S47" s="4" t="s">
        <v>49</v>
      </c>
      <c r="T47" s="2" t="s">
        <v>49</v>
      </c>
      <c r="U47" s="2" t="s">
        <v>49</v>
      </c>
      <c r="V47" s="22">
        <v>139.30000000000001</v>
      </c>
      <c r="W47" s="2" t="s">
        <v>49</v>
      </c>
      <c r="X47" s="4">
        <v>1.212</v>
      </c>
      <c r="Y47" s="4">
        <v>3.3799999999999997E-2</v>
      </c>
      <c r="Z47" s="4" t="s">
        <v>49</v>
      </c>
      <c r="AA47" s="28">
        <v>417.90000000000003</v>
      </c>
      <c r="AB47" s="1">
        <f t="shared" si="0"/>
        <v>572.78480000000002</v>
      </c>
      <c r="AC47" s="1">
        <f t="shared" si="1"/>
        <v>72.959338306463437</v>
      </c>
      <c r="AD47" s="1">
        <f t="shared" si="2"/>
        <v>18.418784856022715</v>
      </c>
      <c r="AE47" s="1">
        <f t="shared" si="3"/>
        <v>0.17702983738395292</v>
      </c>
      <c r="AF47" s="1">
        <f t="shared" si="4"/>
        <v>7.7795360491409689</v>
      </c>
      <c r="AG47" s="1">
        <f t="shared" si="5"/>
        <v>0.42075138865416822</v>
      </c>
    </row>
    <row r="48" spans="1:33" x14ac:dyDescent="0.25">
      <c r="A48" s="12" t="s">
        <v>90</v>
      </c>
      <c r="B48" s="11" t="s">
        <v>129</v>
      </c>
      <c r="C48" s="24">
        <v>2.5299999999999998</v>
      </c>
      <c r="D48" s="19">
        <v>3.3E-3</v>
      </c>
      <c r="E48" s="21" t="s">
        <v>49</v>
      </c>
      <c r="F48" s="19">
        <v>3.3999999999999998E-3</v>
      </c>
      <c r="G48" s="2" t="s">
        <v>49</v>
      </c>
      <c r="H48" s="22">
        <v>255.8</v>
      </c>
      <c r="I48" s="2" t="s">
        <v>49</v>
      </c>
      <c r="J48" s="19">
        <v>1.1999999999999999E-3</v>
      </c>
      <c r="K48" s="3" t="s">
        <v>49</v>
      </c>
      <c r="L48" s="4" t="s">
        <v>49</v>
      </c>
      <c r="M48" s="4" t="s">
        <v>49</v>
      </c>
      <c r="N48" s="4">
        <v>0.16919999999999999</v>
      </c>
      <c r="O48" s="22">
        <v>110.3</v>
      </c>
      <c r="P48" s="19">
        <v>1E-3</v>
      </c>
      <c r="Q48" s="19">
        <v>1.1000000000000001E-3</v>
      </c>
      <c r="R48" s="4">
        <v>1.022</v>
      </c>
      <c r="S48" s="4" t="s">
        <v>49</v>
      </c>
      <c r="T48" s="2" t="s">
        <v>49</v>
      </c>
      <c r="U48" s="2" t="s">
        <v>49</v>
      </c>
      <c r="V48" s="22">
        <v>353.5</v>
      </c>
      <c r="W48" s="2" t="s">
        <v>49</v>
      </c>
      <c r="X48" s="4">
        <v>1.1040000000000001</v>
      </c>
      <c r="Y48" s="4">
        <v>0.1255</v>
      </c>
      <c r="Z48" s="4">
        <v>6.1000000000000004E-3</v>
      </c>
      <c r="AA48" s="28">
        <v>1060.5</v>
      </c>
      <c r="AB48" s="1">
        <f t="shared" si="0"/>
        <v>1431.5668000000001</v>
      </c>
      <c r="AC48" s="1">
        <f t="shared" si="1"/>
        <v>74.079672705458094</v>
      </c>
      <c r="AD48" s="1">
        <f t="shared" si="2"/>
        <v>17.868533972707386</v>
      </c>
      <c r="AE48" s="1">
        <f t="shared" si="3"/>
        <v>7.139031165014445E-2</v>
      </c>
      <c r="AF48" s="1">
        <f t="shared" si="4"/>
        <v>7.7048447896388765</v>
      </c>
      <c r="AG48" s="1">
        <f t="shared" si="5"/>
        <v>0.17672944077775479</v>
      </c>
    </row>
    <row r="49" spans="1:33" x14ac:dyDescent="0.25">
      <c r="A49" s="12" t="s">
        <v>91</v>
      </c>
      <c r="B49" s="5" t="s">
        <v>130</v>
      </c>
      <c r="C49" s="24">
        <v>14.5</v>
      </c>
      <c r="D49" s="18" t="s">
        <v>49</v>
      </c>
      <c r="E49" s="21" t="s">
        <v>49</v>
      </c>
      <c r="F49" s="19">
        <v>1.37E-2</v>
      </c>
      <c r="G49" s="19">
        <v>2.1600000000000001E-2</v>
      </c>
      <c r="H49" s="3">
        <v>29.83</v>
      </c>
      <c r="I49" s="2" t="s">
        <v>49</v>
      </c>
      <c r="J49" s="2" t="s">
        <v>49</v>
      </c>
      <c r="K49" s="3" t="s">
        <v>49</v>
      </c>
      <c r="L49" s="4" t="s">
        <v>49</v>
      </c>
      <c r="M49" s="4" t="s">
        <v>49</v>
      </c>
      <c r="N49" s="4">
        <v>1.2110000000000001</v>
      </c>
      <c r="O49" s="3">
        <v>21.26</v>
      </c>
      <c r="P49" s="4" t="s">
        <v>49</v>
      </c>
      <c r="Q49" s="19">
        <v>1.6999999999999999E-3</v>
      </c>
      <c r="R49" s="4">
        <v>8.1509999999999998</v>
      </c>
      <c r="S49" s="4" t="s">
        <v>49</v>
      </c>
      <c r="T49" s="2" t="s">
        <v>49</v>
      </c>
      <c r="U49" s="2" t="s">
        <v>49</v>
      </c>
      <c r="V49" s="4">
        <v>6.3179999999999996</v>
      </c>
      <c r="W49" s="2" t="s">
        <v>49</v>
      </c>
      <c r="X49" s="4">
        <v>7.7519999999999998</v>
      </c>
      <c r="Y49" s="4">
        <v>0.1153</v>
      </c>
      <c r="Z49" s="4" t="s">
        <v>49</v>
      </c>
      <c r="AA49" s="27">
        <v>18.954000000000001</v>
      </c>
      <c r="AB49" s="1">
        <f t="shared" si="0"/>
        <v>101.81029999999998</v>
      </c>
      <c r="AC49" s="1">
        <f t="shared" si="1"/>
        <v>18.61697686776289</v>
      </c>
      <c r="AD49" s="1">
        <f t="shared" si="2"/>
        <v>29.299589530725285</v>
      </c>
      <c r="AE49" s="1">
        <f t="shared" si="3"/>
        <v>8.006066183873342</v>
      </c>
      <c r="AF49" s="1">
        <f t="shared" si="4"/>
        <v>20.881973631351649</v>
      </c>
      <c r="AG49" s="1">
        <f t="shared" si="5"/>
        <v>14.242173925427979</v>
      </c>
    </row>
    <row r="50" spans="1:33" x14ac:dyDescent="0.25">
      <c r="A50" s="12"/>
      <c r="B50" s="1"/>
      <c r="C50" s="1"/>
      <c r="D50" s="2"/>
      <c r="E50" s="2"/>
      <c r="F50" s="2"/>
      <c r="G50" s="2"/>
      <c r="H50" s="2"/>
      <c r="I50" s="2"/>
      <c r="J50" s="2"/>
      <c r="K50" s="3"/>
      <c r="L50" s="4"/>
      <c r="M50" s="4"/>
      <c r="N50" s="4"/>
      <c r="O50" s="2"/>
      <c r="P50" s="4"/>
      <c r="Q50" s="2"/>
      <c r="R50" s="4"/>
      <c r="S50" s="4"/>
      <c r="T50" s="2"/>
      <c r="U50" s="2"/>
      <c r="V50" s="2"/>
      <c r="W50" s="2"/>
      <c r="X50" s="4"/>
      <c r="Y50" s="2"/>
      <c r="Z50" s="4"/>
    </row>
    <row r="51" spans="1:33" x14ac:dyDescent="0.25">
      <c r="A51" s="6" t="s">
        <v>25</v>
      </c>
      <c r="B51" s="1"/>
      <c r="C51" s="1"/>
      <c r="D51" s="1">
        <v>1E-3</v>
      </c>
      <c r="E51" s="1">
        <v>1E-3</v>
      </c>
      <c r="F51" s="1">
        <v>1E-3</v>
      </c>
      <c r="G51" s="1">
        <v>1E-3</v>
      </c>
      <c r="H51" s="1">
        <v>1E-3</v>
      </c>
      <c r="I51" s="1">
        <v>1E-3</v>
      </c>
      <c r="J51" s="1">
        <v>1E-3</v>
      </c>
      <c r="K51" s="1">
        <v>1E-3</v>
      </c>
      <c r="L51" s="1">
        <v>1E-3</v>
      </c>
      <c r="M51" s="1">
        <v>1E-3</v>
      </c>
      <c r="N51" s="1">
        <v>5.0000000000000001E-3</v>
      </c>
      <c r="O51" s="1">
        <v>1E-3</v>
      </c>
      <c r="P51" s="1">
        <v>1E-3</v>
      </c>
      <c r="Q51" s="1">
        <v>1E-3</v>
      </c>
      <c r="R51" s="1">
        <v>1E-3</v>
      </c>
      <c r="S51" s="1">
        <v>1E-3</v>
      </c>
      <c r="T51" s="1">
        <v>0.03</v>
      </c>
      <c r="U51" s="1">
        <v>1E-3</v>
      </c>
      <c r="V51" s="1">
        <v>0.01</v>
      </c>
      <c r="W51" s="1">
        <v>2.5000000000000001E-2</v>
      </c>
      <c r="X51" s="1">
        <v>1E-3</v>
      </c>
      <c r="Y51" s="1">
        <v>1E-3</v>
      </c>
      <c r="Z51" s="1">
        <v>1E-3</v>
      </c>
    </row>
    <row r="52" spans="1:33" x14ac:dyDescent="0.25">
      <c r="A52" s="1"/>
      <c r="B52" s="1"/>
      <c r="C52" s="1"/>
      <c r="D52" s="2"/>
      <c r="E52" s="2"/>
      <c r="F52" s="2"/>
      <c r="G52" s="2"/>
      <c r="H52" s="2"/>
      <c r="I52" s="2"/>
      <c r="J52" s="2"/>
      <c r="K52" s="3"/>
      <c r="L52" s="4"/>
      <c r="M52" s="3"/>
      <c r="N52" s="2"/>
      <c r="O52" s="2"/>
      <c r="P52" s="4"/>
      <c r="Q52" s="2"/>
      <c r="R52" s="3"/>
      <c r="S52" s="4"/>
      <c r="T52" s="2"/>
      <c r="U52" s="2"/>
      <c r="V52" s="2"/>
      <c r="W52" s="2"/>
      <c r="X52" s="4"/>
      <c r="Y52" s="2"/>
      <c r="Z52" s="4"/>
    </row>
    <row r="53" spans="1:33" ht="15.6" x14ac:dyDescent="0.35">
      <c r="A53" s="17" t="s">
        <v>26</v>
      </c>
      <c r="B53" s="17"/>
      <c r="C53" s="17" t="s">
        <v>27</v>
      </c>
      <c r="E53" s="8"/>
      <c r="H53" s="2"/>
      <c r="I53" s="2"/>
      <c r="J53" s="2"/>
      <c r="K53" s="3"/>
      <c r="L53" s="4"/>
      <c r="M53" s="3"/>
      <c r="N53" s="2"/>
      <c r="O53" s="2"/>
      <c r="P53" s="4"/>
      <c r="Q53" s="2"/>
      <c r="R53" s="3"/>
      <c r="S53" s="4"/>
      <c r="T53" s="2"/>
      <c r="U53" s="2"/>
      <c r="V53" s="4"/>
      <c r="W53" s="2"/>
      <c r="X53" s="4"/>
      <c r="Y53" s="2"/>
      <c r="Z53" s="4"/>
    </row>
    <row r="54" spans="1:33" x14ac:dyDescent="0.25">
      <c r="A54" s="17" t="s">
        <v>28</v>
      </c>
      <c r="B54" s="17"/>
      <c r="C54" s="17" t="s">
        <v>29</v>
      </c>
      <c r="E54" s="7"/>
      <c r="H54" s="2"/>
      <c r="I54" s="2"/>
      <c r="J54" s="2"/>
      <c r="K54" s="3"/>
      <c r="L54" s="4"/>
      <c r="M54" s="3"/>
      <c r="N54" s="2"/>
      <c r="O54" s="2"/>
      <c r="P54" s="4"/>
      <c r="Q54" s="2"/>
      <c r="R54" s="3"/>
      <c r="S54" s="4"/>
      <c r="T54" s="2"/>
      <c r="U54" s="2"/>
      <c r="V54" s="4"/>
      <c r="W54" s="2"/>
      <c r="X54" s="4"/>
      <c r="Y54" s="2"/>
      <c r="Z54" s="4"/>
    </row>
    <row r="55" spans="1:33" ht="15.6" x14ac:dyDescent="0.35">
      <c r="A55" s="17" t="s">
        <v>30</v>
      </c>
      <c r="B55" s="17"/>
      <c r="C55" s="17" t="s">
        <v>31</v>
      </c>
      <c r="E55" s="8"/>
      <c r="H55" s="2"/>
      <c r="I55" s="2"/>
      <c r="J55" s="2"/>
      <c r="K55" s="3"/>
      <c r="L55" s="4"/>
      <c r="M55" s="3"/>
      <c r="N55" s="2"/>
      <c r="O55" s="2"/>
      <c r="P55" s="4"/>
      <c r="Q55" s="2"/>
      <c r="R55" s="3"/>
      <c r="S55" s="4"/>
      <c r="T55" s="2"/>
      <c r="U55" s="2"/>
      <c r="V55" s="4"/>
      <c r="W55" s="2"/>
      <c r="X55" s="4"/>
      <c r="Y55" s="2"/>
      <c r="Z55" s="4"/>
    </row>
    <row r="56" spans="1:33" ht="15.6" x14ac:dyDescent="0.35">
      <c r="A56" s="17" t="s">
        <v>32</v>
      </c>
      <c r="B56" s="17"/>
      <c r="C56" s="17" t="s">
        <v>33</v>
      </c>
      <c r="E56" s="8"/>
      <c r="H56" s="2"/>
      <c r="I56" s="2"/>
      <c r="J56" s="2"/>
      <c r="K56" s="3"/>
      <c r="L56" s="4"/>
      <c r="M56" s="3"/>
      <c r="N56" s="2"/>
      <c r="O56" s="2"/>
      <c r="P56" s="4"/>
      <c r="Q56" s="2"/>
      <c r="R56" s="3"/>
      <c r="S56" s="4"/>
      <c r="T56" s="2"/>
      <c r="U56" s="2"/>
      <c r="V56" s="4"/>
      <c r="W56" s="2"/>
      <c r="X56" s="4"/>
      <c r="Y56" s="2"/>
      <c r="Z56" s="4"/>
    </row>
    <row r="57" spans="1:33" ht="15.6" x14ac:dyDescent="0.35">
      <c r="A57" s="17" t="s">
        <v>34</v>
      </c>
      <c r="B57" s="17"/>
      <c r="C57" s="17" t="s">
        <v>35</v>
      </c>
      <c r="E57" s="8"/>
      <c r="H57" s="2"/>
      <c r="I57" s="2"/>
      <c r="J57" s="2"/>
      <c r="K57" s="3"/>
      <c r="L57" s="4"/>
      <c r="M57" s="3"/>
      <c r="N57" s="2"/>
      <c r="O57" s="2"/>
      <c r="P57" s="4"/>
      <c r="Q57" s="2"/>
      <c r="R57" s="3"/>
      <c r="S57" s="4"/>
      <c r="T57" s="2"/>
      <c r="U57" s="2"/>
      <c r="V57" s="4"/>
      <c r="W57" s="2"/>
      <c r="X57" s="4"/>
      <c r="Y57" s="2"/>
      <c r="Z57" s="4"/>
    </row>
    <row r="58" spans="1:33" ht="15.6" x14ac:dyDescent="0.35">
      <c r="A58" s="17" t="s">
        <v>36</v>
      </c>
      <c r="B58" s="17"/>
      <c r="C58" s="17" t="s">
        <v>37</v>
      </c>
      <c r="E58" s="8"/>
    </row>
    <row r="59" spans="1:33" ht="15.6" x14ac:dyDescent="0.35">
      <c r="A59" s="17" t="s">
        <v>38</v>
      </c>
      <c r="B59" s="17"/>
      <c r="C59" s="17" t="s">
        <v>39</v>
      </c>
      <c r="E59" s="8"/>
    </row>
    <row r="60" spans="1:33" ht="15.6" x14ac:dyDescent="0.35">
      <c r="A60" s="17" t="s">
        <v>40</v>
      </c>
      <c r="B60" s="17"/>
      <c r="C60" s="17" t="s">
        <v>41</v>
      </c>
      <c r="E60" s="8"/>
    </row>
    <row r="61" spans="1:33" ht="15.6" x14ac:dyDescent="0.35">
      <c r="A61" s="17" t="s">
        <v>42</v>
      </c>
      <c r="B61" s="17"/>
      <c r="C61" s="17" t="s">
        <v>43</v>
      </c>
      <c r="E61" s="8"/>
    </row>
    <row r="62" spans="1:33" ht="15.6" x14ac:dyDescent="0.35">
      <c r="A62" s="17" t="s">
        <v>44</v>
      </c>
      <c r="B62" s="17"/>
      <c r="C62" s="17" t="s">
        <v>45</v>
      </c>
      <c r="E62" s="8"/>
    </row>
    <row r="63" spans="1:33" ht="15.6" x14ac:dyDescent="0.35">
      <c r="A63" s="17" t="s">
        <v>46</v>
      </c>
      <c r="B63" s="17"/>
      <c r="C63" s="17" t="s">
        <v>47</v>
      </c>
      <c r="E63" s="8"/>
    </row>
    <row r="64" spans="1:33" ht="15.6" x14ac:dyDescent="0.35">
      <c r="A64" s="17"/>
      <c r="B64" s="17"/>
      <c r="C64" s="17" t="s">
        <v>48</v>
      </c>
      <c r="E64" s="8"/>
    </row>
  </sheetData>
  <mergeCells count="1">
    <mergeCell ref="D12:Z12"/>
  </mergeCells>
  <phoneticPr fontId="1" type="noConversion"/>
  <pageMargins left="0" right="0" top="2.75" bottom="1.5" header="0.5" footer="0.5"/>
  <pageSetup scale="53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Utah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tevans</dc:creator>
  <cp:lastModifiedBy>kmg31</cp:lastModifiedBy>
  <cp:lastPrinted>2020-08-31T20:12:01Z</cp:lastPrinted>
  <dcterms:created xsi:type="dcterms:W3CDTF">2007-01-18T20:24:28Z</dcterms:created>
  <dcterms:modified xsi:type="dcterms:W3CDTF">2021-04-12T22:18:24Z</dcterms:modified>
</cp:coreProperties>
</file>